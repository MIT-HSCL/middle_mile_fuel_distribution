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5"/>
    <sheet state="visible" name="supply" sheetId="2" r:id="rId6"/>
    <sheet state="visible" name="supply_disruption_scenario" sheetId="3" r:id="rId7"/>
    <sheet state="visible" name="pipeline_segments" sheetId="4" r:id="rId8"/>
    <sheet state="visible" name="pipeline_disruption_scenario" sheetId="5" r:id="rId9"/>
    <sheet state="visible" name="terminals" sheetId="6" r:id="rId10"/>
    <sheet state="hidden" name="pipeline_leadtime_estimation" sheetId="7" r:id="rId11"/>
  </sheets>
  <definedNames/>
  <calcPr/>
</workbook>
</file>

<file path=xl/sharedStrings.xml><?xml version="1.0" encoding="utf-8"?>
<sst xmlns="http://schemas.openxmlformats.org/spreadsheetml/2006/main" count="281" uniqueCount="71">
  <si>
    <t>Scenario details:</t>
  </si>
  <si>
    <t>Period of time</t>
  </si>
  <si>
    <t>Implications</t>
  </si>
  <si>
    <t>Power outage in LA</t>
  </si>
  <si>
    <t>Days 0 to 3</t>
  </si>
  <si>
    <t>Terminals in LA dont operate. Refineries in LA dont operate</t>
  </si>
  <si>
    <t>Refineries shutdown</t>
  </si>
  <si>
    <t>Days 0 to 14</t>
  </si>
  <si>
    <t>14-Day Minimum Shutdown: The power outage forces a hard shutdown of all seven Los Angeles area refineries. This relies on that to restart operations, the ifnraestructure must follow strict protocols of reactivation + cleaning</t>
  </si>
  <si>
    <t>Days 0 to 28</t>
  </si>
  <si>
    <t>Wilmington shuts down for 28 day</t>
  </si>
  <si>
    <t>Crude oil pipelines shut down</t>
  </si>
  <si>
    <t>Days 0 to 21</t>
  </si>
  <si>
    <t>25% of refineries crude oil filling capacity is shut down for 21 days.</t>
  </si>
  <si>
    <t>Pipeline segment LA-Colton</t>
  </si>
  <si>
    <t>Shut down</t>
  </si>
  <si>
    <t>Pipeline segment Colton-Barstow</t>
  </si>
  <si>
    <t>Days 0 to 42</t>
  </si>
  <si>
    <t>Pipeline segment Colton-Imperial</t>
  </si>
  <si>
    <t>Days 0 to 88</t>
  </si>
  <si>
    <t>supply_type</t>
  </si>
  <si>
    <t>name</t>
  </si>
  <si>
    <t>capacity_bbl_day</t>
  </si>
  <si>
    <t>refinery</t>
  </si>
  <si>
    <t>El Segundo</t>
  </si>
  <si>
    <t>Wilmington</t>
  </si>
  <si>
    <t>Carson</t>
  </si>
  <si>
    <t>Torrance</t>
  </si>
  <si>
    <t>port</t>
  </si>
  <si>
    <t>Los Angeles</t>
  </si>
  <si>
    <t>Long Beach</t>
  </si>
  <si>
    <t>day</t>
  </si>
  <si>
    <t>percentage_of_capacity</t>
  </si>
  <si>
    <t>ports</t>
  </si>
  <si>
    <t>pipeline_segment</t>
  </si>
  <si>
    <t>upstream_connection</t>
  </si>
  <si>
    <t>leadtime</t>
  </si>
  <si>
    <t>LA_Interior</t>
  </si>
  <si>
    <t>LA_Colton</t>
  </si>
  <si>
    <t>Colton_Imperial</t>
  </si>
  <si>
    <t>Imperial_Phoenix</t>
  </si>
  <si>
    <t>Colton_Barstow</t>
  </si>
  <si>
    <t>Barstow_Vegas</t>
  </si>
  <si>
    <t>LA_Bakersfield</t>
  </si>
  <si>
    <t>LA_SanDiego</t>
  </si>
  <si>
    <t>LA_interior</t>
  </si>
  <si>
    <t>terminal_group</t>
  </si>
  <si>
    <t>pipeline</t>
  </si>
  <si>
    <t>initial_inventory_days</t>
  </si>
  <si>
    <t>target_inventory_on_hand</t>
  </si>
  <si>
    <t>default_demand_bbl_day</t>
  </si>
  <si>
    <t>Imperial</t>
  </si>
  <si>
    <t>San Diego</t>
  </si>
  <si>
    <t>Phoenix</t>
  </si>
  <si>
    <t>Orange</t>
  </si>
  <si>
    <t>Colton</t>
  </si>
  <si>
    <t>Bakersfield</t>
  </si>
  <si>
    <t>Barstow</t>
  </si>
  <si>
    <t>Las Vegas</t>
  </si>
  <si>
    <t>Segment</t>
  </si>
  <si>
    <t>Miles (approx)</t>
  </si>
  <si>
    <t>Fast (120)</t>
  </si>
  <si>
    <t>Typical (90)</t>
  </si>
  <si>
    <t>Slow (70)</t>
  </si>
  <si>
    <t>Los Angeles → Colton</t>
  </si>
  <si>
    <t>Colton → Imperial (Imperial Valley)</t>
  </si>
  <si>
    <t>Imperial → Phoenix</t>
  </si>
  <si>
    <t>Colton → Barstow</t>
  </si>
  <si>
    <t>Barstow → Las Vegas</t>
  </si>
  <si>
    <t>Los Angeles → Bakersfield</t>
  </si>
  <si>
    <t>Los Angeles → San Diego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</si>
</sst>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&quot;Google Sans Text&quot;"/>
    </font>
    <font>
      <b/>
      <sz val="11.0"/>
      <color rgb="FF1F1F1F"/>
      <name val="Monospace"/>
    </font>
    <font>
      <b/>
      <sz val="11.0"/>
      <color rgb="FF1F1F1F"/>
      <name val="&quot;Google Sans Text&quot;"/>
    </font>
    <font>
      <sz val="11.0"/>
      <color rgb="FF000000"/>
      <name val="Arial"/>
    </font>
    <font>
      <sz val="11.0"/>
      <color rgb="FF000000"/>
      <name val="&quot;Aptos Narrow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">
    <border/>
    <border>
      <bottom style="thin">
        <color rgb="FFC4C7C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Font="1"/>
    <xf borderId="0" fillId="3" fontId="3" numFmtId="0" xfId="0" applyAlignment="1" applyFill="1" applyFont="1">
      <alignment horizontal="left" readingOrder="0"/>
    </xf>
    <xf borderId="1" fillId="3" fontId="4" numFmtId="0" xfId="0" applyAlignment="1" applyBorder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3" fontId="3" numFmtId="0" xfId="0" applyAlignment="1" applyFont="1">
      <alignment horizontal="right" readingOrder="0"/>
    </xf>
    <xf borderId="0" fillId="3" fontId="5" numFmtId="0" xfId="0" applyAlignment="1" applyFont="1">
      <alignment horizontal="center" readingOrder="0"/>
    </xf>
    <xf borderId="0" fillId="3" fontId="3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0" xfId="0" applyFont="1"/>
    <xf borderId="0" fillId="0" fontId="8" numFmtId="0" xfId="0" applyAlignment="1" applyFont="1">
      <alignment horizontal="right" readingOrder="0"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4" fontId="7" numFmtId="0" xfId="0" applyAlignment="1" applyFill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/>
    </xf>
    <xf borderId="0" fillId="4" fontId="8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3" max="3" width="60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6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12</v>
      </c>
      <c r="C6" s="2" t="s">
        <v>15</v>
      </c>
    </row>
    <row r="7">
      <c r="A7" s="2" t="s">
        <v>16</v>
      </c>
      <c r="B7" s="2" t="s">
        <v>17</v>
      </c>
      <c r="C7" s="2" t="s">
        <v>15</v>
      </c>
    </row>
    <row r="8">
      <c r="A8" s="2" t="s">
        <v>18</v>
      </c>
      <c r="B8" s="2" t="s">
        <v>19</v>
      </c>
      <c r="C8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9" max="9" width="27.13"/>
    <col customWidth="1" min="10" max="10" width="26.5"/>
  </cols>
  <sheetData>
    <row r="1">
      <c r="A1" s="1" t="s">
        <v>20</v>
      </c>
      <c r="B1" s="1" t="s">
        <v>21</v>
      </c>
      <c r="C1" s="1" t="s">
        <v>22</v>
      </c>
    </row>
    <row r="2">
      <c r="A2" s="3" t="s">
        <v>23</v>
      </c>
      <c r="B2" s="4" t="s">
        <v>24</v>
      </c>
      <c r="C2" s="5">
        <v>228000.0</v>
      </c>
    </row>
    <row r="3">
      <c r="A3" s="3" t="s">
        <v>23</v>
      </c>
      <c r="B3" s="6" t="s">
        <v>25</v>
      </c>
      <c r="C3" s="5">
        <v>110960.0</v>
      </c>
      <c r="H3" s="7"/>
      <c r="I3" s="7"/>
      <c r="J3" s="7"/>
      <c r="K3" s="7"/>
      <c r="L3" s="7"/>
      <c r="M3" s="7"/>
    </row>
    <row r="4">
      <c r="A4" s="3" t="s">
        <v>23</v>
      </c>
      <c r="B4" s="4" t="s">
        <v>26</v>
      </c>
      <c r="C4" s="5">
        <v>292000.0</v>
      </c>
      <c r="F4" s="7"/>
      <c r="G4" s="7"/>
      <c r="H4" s="7"/>
      <c r="I4" s="8"/>
      <c r="J4" s="8"/>
      <c r="K4" s="8"/>
      <c r="L4" s="8"/>
      <c r="M4" s="8"/>
      <c r="N4" s="8"/>
    </row>
    <row r="5">
      <c r="A5" s="3" t="s">
        <v>23</v>
      </c>
      <c r="B5" s="6" t="s">
        <v>27</v>
      </c>
      <c r="C5" s="5">
        <v>128000.0</v>
      </c>
      <c r="F5" s="9"/>
      <c r="G5" s="8"/>
      <c r="H5" s="8"/>
      <c r="I5" s="8"/>
      <c r="J5" s="10"/>
      <c r="K5" s="10"/>
      <c r="L5" s="10"/>
      <c r="M5" s="10"/>
      <c r="N5" s="10"/>
    </row>
    <row r="6">
      <c r="A6" s="3" t="s">
        <v>23</v>
      </c>
      <c r="B6" s="4" t="s">
        <v>25</v>
      </c>
      <c r="C6" s="5">
        <v>68000.0</v>
      </c>
      <c r="F6" s="11"/>
      <c r="G6" s="10"/>
      <c r="H6" s="10"/>
      <c r="I6" s="10"/>
      <c r="J6" s="10"/>
      <c r="K6" s="8"/>
      <c r="L6" s="8"/>
      <c r="M6" s="8"/>
      <c r="N6" s="8"/>
    </row>
    <row r="7">
      <c r="A7" s="3" t="s">
        <v>23</v>
      </c>
      <c r="B7" s="6" t="s">
        <v>25</v>
      </c>
      <c r="C7" s="5">
        <v>3150.0</v>
      </c>
      <c r="F7" s="12"/>
      <c r="H7" s="11"/>
      <c r="I7" s="10"/>
      <c r="J7" s="10"/>
      <c r="K7" s="10"/>
      <c r="L7" s="10"/>
      <c r="M7" s="10"/>
      <c r="N7" s="10"/>
    </row>
    <row r="8">
      <c r="A8" s="3" t="s">
        <v>28</v>
      </c>
      <c r="B8" s="13" t="s">
        <v>29</v>
      </c>
      <c r="C8" s="3">
        <v>28236.0</v>
      </c>
      <c r="H8" s="9"/>
      <c r="I8" s="8"/>
      <c r="J8" s="8"/>
      <c r="K8" s="8"/>
      <c r="L8" s="8"/>
      <c r="M8" s="8"/>
      <c r="N8" s="8"/>
    </row>
    <row r="9">
      <c r="A9" s="3" t="s">
        <v>28</v>
      </c>
      <c r="B9" s="13" t="s">
        <v>30</v>
      </c>
      <c r="C9" s="3">
        <v>9721.0</v>
      </c>
      <c r="H9" s="11"/>
      <c r="I9" s="10"/>
      <c r="J9" s="10"/>
      <c r="K9" s="10"/>
      <c r="L9" s="10"/>
      <c r="M9" s="10"/>
      <c r="N9" s="10"/>
    </row>
    <row r="10">
      <c r="B10" s="14"/>
    </row>
    <row r="13">
      <c r="J13" s="8"/>
    </row>
    <row r="14">
      <c r="J14" s="10"/>
    </row>
    <row r="15">
      <c r="J15" s="8"/>
    </row>
    <row r="16">
      <c r="J16" s="10"/>
    </row>
    <row r="17">
      <c r="J17" s="8"/>
    </row>
    <row r="18">
      <c r="J1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1" t="s">
        <v>20</v>
      </c>
      <c r="B1" s="1" t="s">
        <v>31</v>
      </c>
      <c r="C1" s="1" t="s">
        <v>32</v>
      </c>
    </row>
    <row r="2">
      <c r="A2" s="3" t="s">
        <v>23</v>
      </c>
      <c r="B2" s="3">
        <v>1.0</v>
      </c>
      <c r="C2" s="3">
        <v>0.0</v>
      </c>
    </row>
    <row r="3">
      <c r="A3" s="3" t="s">
        <v>23</v>
      </c>
      <c r="B3" s="3">
        <f t="shared" ref="B3:B29" si="1">B2+1</f>
        <v>2</v>
      </c>
      <c r="C3" s="3">
        <v>0.0</v>
      </c>
    </row>
    <row r="4">
      <c r="A4" s="3" t="s">
        <v>23</v>
      </c>
      <c r="B4" s="3">
        <f t="shared" si="1"/>
        <v>3</v>
      </c>
      <c r="C4" s="3">
        <v>0.0</v>
      </c>
    </row>
    <row r="5">
      <c r="A5" s="3" t="s">
        <v>23</v>
      </c>
      <c r="B5" s="3">
        <f t="shared" si="1"/>
        <v>4</v>
      </c>
      <c r="C5" s="3">
        <v>0.0</v>
      </c>
    </row>
    <row r="6">
      <c r="A6" s="3" t="s">
        <v>23</v>
      </c>
      <c r="B6" s="3">
        <f t="shared" si="1"/>
        <v>5</v>
      </c>
      <c r="C6" s="3">
        <v>0.0</v>
      </c>
    </row>
    <row r="7">
      <c r="A7" s="3" t="s">
        <v>23</v>
      </c>
      <c r="B7" s="3">
        <f t="shared" si="1"/>
        <v>6</v>
      </c>
      <c r="C7" s="3">
        <v>0.0</v>
      </c>
    </row>
    <row r="8">
      <c r="A8" s="3" t="s">
        <v>23</v>
      </c>
      <c r="B8" s="3">
        <f t="shared" si="1"/>
        <v>7</v>
      </c>
      <c r="C8" s="3">
        <v>0.0</v>
      </c>
    </row>
    <row r="9">
      <c r="A9" s="3" t="s">
        <v>23</v>
      </c>
      <c r="B9" s="3">
        <f t="shared" si="1"/>
        <v>8</v>
      </c>
      <c r="C9" s="3">
        <v>0.0</v>
      </c>
    </row>
    <row r="10">
      <c r="A10" s="3" t="s">
        <v>23</v>
      </c>
      <c r="B10" s="3">
        <f t="shared" si="1"/>
        <v>9</v>
      </c>
      <c r="C10" s="3">
        <v>0.0</v>
      </c>
    </row>
    <row r="11">
      <c r="A11" s="3" t="s">
        <v>23</v>
      </c>
      <c r="B11" s="3">
        <f t="shared" si="1"/>
        <v>10</v>
      </c>
      <c r="C11" s="3">
        <v>0.0</v>
      </c>
    </row>
    <row r="12">
      <c r="A12" s="3" t="s">
        <v>23</v>
      </c>
      <c r="B12" s="3">
        <f t="shared" si="1"/>
        <v>11</v>
      </c>
      <c r="C12" s="3">
        <v>0.0</v>
      </c>
    </row>
    <row r="13">
      <c r="A13" s="3" t="s">
        <v>23</v>
      </c>
      <c r="B13" s="3">
        <f t="shared" si="1"/>
        <v>12</v>
      </c>
      <c r="C13" s="3">
        <v>0.0</v>
      </c>
    </row>
    <row r="14">
      <c r="A14" s="3" t="s">
        <v>23</v>
      </c>
      <c r="B14" s="3">
        <f t="shared" si="1"/>
        <v>13</v>
      </c>
      <c r="C14" s="3">
        <v>0.0</v>
      </c>
    </row>
    <row r="15">
      <c r="A15" s="3" t="s">
        <v>23</v>
      </c>
      <c r="B15" s="3">
        <f t="shared" si="1"/>
        <v>14</v>
      </c>
      <c r="C15" s="3">
        <v>0.0</v>
      </c>
    </row>
    <row r="16">
      <c r="A16" s="3" t="s">
        <v>23</v>
      </c>
      <c r="B16" s="3">
        <f t="shared" si="1"/>
        <v>15</v>
      </c>
      <c r="C16" s="5">
        <f t="shared" ref="C16:C22" si="2">1-0.45</f>
        <v>0.55</v>
      </c>
    </row>
    <row r="17">
      <c r="A17" s="3" t="s">
        <v>23</v>
      </c>
      <c r="B17" s="3">
        <f t="shared" si="1"/>
        <v>16</v>
      </c>
      <c r="C17" s="5">
        <f t="shared" si="2"/>
        <v>0.55</v>
      </c>
    </row>
    <row r="18">
      <c r="A18" s="3" t="s">
        <v>23</v>
      </c>
      <c r="B18" s="3">
        <f t="shared" si="1"/>
        <v>17</v>
      </c>
      <c r="C18" s="5">
        <f t="shared" si="2"/>
        <v>0.55</v>
      </c>
    </row>
    <row r="19">
      <c r="A19" s="3" t="s">
        <v>23</v>
      </c>
      <c r="B19" s="3">
        <f t="shared" si="1"/>
        <v>18</v>
      </c>
      <c r="C19" s="5">
        <f t="shared" si="2"/>
        <v>0.55</v>
      </c>
    </row>
    <row r="20">
      <c r="A20" s="3" t="s">
        <v>23</v>
      </c>
      <c r="B20" s="3">
        <f t="shared" si="1"/>
        <v>19</v>
      </c>
      <c r="C20" s="5">
        <f t="shared" si="2"/>
        <v>0.55</v>
      </c>
    </row>
    <row r="21">
      <c r="A21" s="3" t="s">
        <v>23</v>
      </c>
      <c r="B21" s="3">
        <f t="shared" si="1"/>
        <v>20</v>
      </c>
      <c r="C21" s="5">
        <f t="shared" si="2"/>
        <v>0.55</v>
      </c>
    </row>
    <row r="22">
      <c r="A22" s="3" t="s">
        <v>23</v>
      </c>
      <c r="B22" s="3">
        <f t="shared" si="1"/>
        <v>21</v>
      </c>
      <c r="C22" s="5">
        <f t="shared" si="2"/>
        <v>0.55</v>
      </c>
    </row>
    <row r="23">
      <c r="A23" s="3" t="s">
        <v>23</v>
      </c>
      <c r="B23" s="3">
        <f t="shared" si="1"/>
        <v>22</v>
      </c>
      <c r="C23" s="3">
        <v>0.8</v>
      </c>
    </row>
    <row r="24">
      <c r="A24" s="3" t="s">
        <v>23</v>
      </c>
      <c r="B24" s="3">
        <f t="shared" si="1"/>
        <v>23</v>
      </c>
      <c r="C24" s="3">
        <v>0.8</v>
      </c>
    </row>
    <row r="25">
      <c r="A25" s="3" t="s">
        <v>23</v>
      </c>
      <c r="B25" s="3">
        <f t="shared" si="1"/>
        <v>24</v>
      </c>
      <c r="C25" s="3">
        <v>0.8</v>
      </c>
    </row>
    <row r="26">
      <c r="A26" s="3" t="s">
        <v>23</v>
      </c>
      <c r="B26" s="3">
        <f t="shared" si="1"/>
        <v>25</v>
      </c>
      <c r="C26" s="3">
        <v>0.8</v>
      </c>
    </row>
    <row r="27">
      <c r="A27" s="3" t="s">
        <v>23</v>
      </c>
      <c r="B27" s="3">
        <f t="shared" si="1"/>
        <v>26</v>
      </c>
      <c r="C27" s="3">
        <v>0.8</v>
      </c>
    </row>
    <row r="28">
      <c r="A28" s="3" t="s">
        <v>23</v>
      </c>
      <c r="B28" s="3">
        <f t="shared" si="1"/>
        <v>27</v>
      </c>
      <c r="C28" s="3">
        <v>0.8</v>
      </c>
    </row>
    <row r="29">
      <c r="A29" s="3" t="s">
        <v>23</v>
      </c>
      <c r="B29" s="3">
        <f t="shared" si="1"/>
        <v>28</v>
      </c>
      <c r="C29" s="3">
        <v>0.8</v>
      </c>
    </row>
    <row r="30">
      <c r="A30" s="3" t="s">
        <v>33</v>
      </c>
      <c r="B30" s="3">
        <v>1.0</v>
      </c>
      <c r="C30" s="3">
        <v>0.0</v>
      </c>
    </row>
    <row r="31">
      <c r="A31" s="3" t="s">
        <v>33</v>
      </c>
      <c r="B31" s="3">
        <v>2.0</v>
      </c>
      <c r="C31" s="3">
        <v>0.0</v>
      </c>
    </row>
    <row r="32">
      <c r="A32" s="3" t="s">
        <v>33</v>
      </c>
      <c r="B32" s="3">
        <v>3.0</v>
      </c>
      <c r="C32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4" width="13.88"/>
  </cols>
  <sheetData>
    <row r="1">
      <c r="A1" s="1" t="s">
        <v>34</v>
      </c>
      <c r="B1" s="1" t="s">
        <v>35</v>
      </c>
      <c r="C1" s="1" t="s">
        <v>36</v>
      </c>
      <c r="D1" s="1" t="s">
        <v>22</v>
      </c>
    </row>
    <row r="2">
      <c r="A2" s="3" t="s">
        <v>37</v>
      </c>
      <c r="C2" s="3">
        <v>1.0</v>
      </c>
      <c r="D2" s="15">
        <f>(terminals!E5+terminals!E6)*1.05</f>
        <v>293296.5</v>
      </c>
      <c r="F2" s="16"/>
      <c r="G2" s="17"/>
    </row>
    <row r="3">
      <c r="A3" s="3" t="s">
        <v>38</v>
      </c>
      <c r="C3" s="3">
        <v>1.0</v>
      </c>
      <c r="D3" s="15">
        <f>(terminals!E7+terminals!E9+terminals!E10+terminals!E2+terminals!E4)*1.05</f>
        <v>329021.175</v>
      </c>
      <c r="F3" s="16"/>
      <c r="G3" s="17"/>
    </row>
    <row r="4">
      <c r="A4" s="3" t="s">
        <v>39</v>
      </c>
      <c r="B4" s="5" t="str">
        <f t="shared" ref="B4:B5" si="1">A3</f>
        <v>LA_Colton</v>
      </c>
      <c r="C4" s="3">
        <v>3.0</v>
      </c>
      <c r="D4" s="15">
        <f>(terminals!E2+terminals!E4)*1.05</f>
        <v>129028.725</v>
      </c>
      <c r="F4" s="16"/>
      <c r="G4" s="17"/>
    </row>
    <row r="5">
      <c r="A5" s="3" t="s">
        <v>40</v>
      </c>
      <c r="B5" s="5" t="str">
        <f t="shared" si="1"/>
        <v>Colton_Imperial</v>
      </c>
      <c r="C5" s="3">
        <v>4.0</v>
      </c>
      <c r="D5" s="15">
        <f>terminals!E4*1.05</f>
        <v>93118.725</v>
      </c>
      <c r="F5" s="16"/>
      <c r="G5" s="17"/>
    </row>
    <row r="6">
      <c r="A6" s="17" t="s">
        <v>41</v>
      </c>
      <c r="B6" s="5" t="str">
        <f>A3</f>
        <v>LA_Colton</v>
      </c>
      <c r="C6" s="3">
        <v>2.0</v>
      </c>
      <c r="D6" s="15">
        <f>(terminals!E9+terminals!E10)*1.05</f>
        <v>95705.4</v>
      </c>
      <c r="F6" s="16"/>
      <c r="G6" s="17"/>
    </row>
    <row r="7">
      <c r="A7" s="17" t="s">
        <v>42</v>
      </c>
      <c r="B7" s="5" t="str">
        <f>A6</f>
        <v>Colton_Barstow</v>
      </c>
      <c r="C7" s="3">
        <v>2.0</v>
      </c>
      <c r="D7" s="15">
        <f>terminals!E10*1.05</f>
        <v>77696.85</v>
      </c>
      <c r="F7" s="16"/>
      <c r="G7" s="17"/>
    </row>
    <row r="8">
      <c r="A8" s="17" t="s">
        <v>43</v>
      </c>
      <c r="C8" s="3">
        <v>2.0</v>
      </c>
      <c r="D8" s="15">
        <f>terminals!E8*1.05</f>
        <v>65807.7</v>
      </c>
      <c r="F8" s="16"/>
      <c r="G8" s="17"/>
    </row>
    <row r="9">
      <c r="A9" s="17" t="s">
        <v>44</v>
      </c>
      <c r="C9" s="3">
        <v>2.0</v>
      </c>
      <c r="D9" s="15">
        <f>terminals!E3*1.05</f>
        <v>68917.8</v>
      </c>
      <c r="F9" s="16"/>
      <c r="G9" s="17"/>
    </row>
    <row r="10">
      <c r="D10" s="18"/>
      <c r="F10" s="16"/>
      <c r="G10" s="17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  <row r="1001">
      <c r="D1001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20.0"/>
  </cols>
  <sheetData>
    <row r="1">
      <c r="A1" s="1" t="s">
        <v>34</v>
      </c>
      <c r="B1" s="1" t="s">
        <v>31</v>
      </c>
      <c r="C1" s="1" t="s">
        <v>32</v>
      </c>
      <c r="D1" s="19"/>
    </row>
    <row r="2">
      <c r="A2" s="3" t="s">
        <v>45</v>
      </c>
      <c r="B2" s="3">
        <v>1.0</v>
      </c>
      <c r="C2" s="3">
        <v>0.0</v>
      </c>
    </row>
    <row r="3">
      <c r="A3" s="3" t="s">
        <v>45</v>
      </c>
      <c r="B3" s="3">
        <v>2.0</v>
      </c>
      <c r="C3" s="3">
        <v>0.0</v>
      </c>
    </row>
    <row r="4">
      <c r="A4" s="3" t="s">
        <v>45</v>
      </c>
      <c r="B4" s="3">
        <v>3.0</v>
      </c>
      <c r="C4" s="3">
        <v>0.0</v>
      </c>
    </row>
    <row r="5">
      <c r="A5" s="3" t="s">
        <v>38</v>
      </c>
      <c r="B5" s="3">
        <v>1.0</v>
      </c>
      <c r="C5" s="3">
        <v>0.0</v>
      </c>
    </row>
    <row r="6">
      <c r="A6" s="3" t="s">
        <v>38</v>
      </c>
      <c r="B6" s="5">
        <f t="shared" ref="B6:B25" si="1">B5+1</f>
        <v>2</v>
      </c>
      <c r="C6" s="3">
        <v>0.0</v>
      </c>
    </row>
    <row r="7">
      <c r="A7" s="3" t="s">
        <v>38</v>
      </c>
      <c r="B7" s="5">
        <f t="shared" si="1"/>
        <v>3</v>
      </c>
      <c r="C7" s="3">
        <v>0.0</v>
      </c>
    </row>
    <row r="8">
      <c r="A8" s="3" t="s">
        <v>38</v>
      </c>
      <c r="B8" s="5">
        <f t="shared" si="1"/>
        <v>4</v>
      </c>
      <c r="C8" s="3">
        <v>0.0</v>
      </c>
    </row>
    <row r="9">
      <c r="A9" s="3" t="s">
        <v>38</v>
      </c>
      <c r="B9" s="5">
        <f t="shared" si="1"/>
        <v>5</v>
      </c>
      <c r="C9" s="3">
        <v>0.0</v>
      </c>
    </row>
    <row r="10">
      <c r="A10" s="3" t="s">
        <v>38</v>
      </c>
      <c r="B10" s="5">
        <f t="shared" si="1"/>
        <v>6</v>
      </c>
      <c r="C10" s="3">
        <v>0.0</v>
      </c>
    </row>
    <row r="11">
      <c r="A11" s="3" t="s">
        <v>38</v>
      </c>
      <c r="B11" s="5">
        <f t="shared" si="1"/>
        <v>7</v>
      </c>
      <c r="C11" s="3">
        <v>0.0</v>
      </c>
    </row>
    <row r="12">
      <c r="A12" s="3" t="s">
        <v>38</v>
      </c>
      <c r="B12" s="5">
        <f t="shared" si="1"/>
        <v>8</v>
      </c>
      <c r="C12" s="3">
        <v>0.0</v>
      </c>
    </row>
    <row r="13">
      <c r="A13" s="3" t="s">
        <v>38</v>
      </c>
      <c r="B13" s="5">
        <f t="shared" si="1"/>
        <v>9</v>
      </c>
      <c r="C13" s="3">
        <v>0.0</v>
      </c>
    </row>
    <row r="14">
      <c r="A14" s="3" t="s">
        <v>38</v>
      </c>
      <c r="B14" s="5">
        <f t="shared" si="1"/>
        <v>10</v>
      </c>
      <c r="C14" s="3">
        <v>0.0</v>
      </c>
    </row>
    <row r="15">
      <c r="A15" s="3" t="s">
        <v>38</v>
      </c>
      <c r="B15" s="5">
        <f t="shared" si="1"/>
        <v>11</v>
      </c>
      <c r="C15" s="3">
        <v>0.0</v>
      </c>
    </row>
    <row r="16">
      <c r="A16" s="3" t="s">
        <v>38</v>
      </c>
      <c r="B16" s="5">
        <f t="shared" si="1"/>
        <v>12</v>
      </c>
      <c r="C16" s="3">
        <v>0.0</v>
      </c>
    </row>
    <row r="17">
      <c r="A17" s="3" t="s">
        <v>38</v>
      </c>
      <c r="B17" s="5">
        <f t="shared" si="1"/>
        <v>13</v>
      </c>
      <c r="C17" s="3">
        <v>0.0</v>
      </c>
    </row>
    <row r="18">
      <c r="A18" s="3" t="s">
        <v>38</v>
      </c>
      <c r="B18" s="5">
        <f t="shared" si="1"/>
        <v>14</v>
      </c>
      <c r="C18" s="3">
        <v>0.0</v>
      </c>
    </row>
    <row r="19">
      <c r="A19" s="3" t="s">
        <v>38</v>
      </c>
      <c r="B19" s="5">
        <f t="shared" si="1"/>
        <v>15</v>
      </c>
      <c r="C19" s="3">
        <v>0.0</v>
      </c>
    </row>
    <row r="20">
      <c r="A20" s="3" t="s">
        <v>38</v>
      </c>
      <c r="B20" s="5">
        <f t="shared" si="1"/>
        <v>16</v>
      </c>
      <c r="C20" s="3">
        <v>0.0</v>
      </c>
    </row>
    <row r="21">
      <c r="A21" s="3" t="s">
        <v>38</v>
      </c>
      <c r="B21" s="5">
        <f t="shared" si="1"/>
        <v>17</v>
      </c>
      <c r="C21" s="3">
        <v>0.0</v>
      </c>
    </row>
    <row r="22">
      <c r="A22" s="3" t="s">
        <v>38</v>
      </c>
      <c r="B22" s="5">
        <f t="shared" si="1"/>
        <v>18</v>
      </c>
      <c r="C22" s="3">
        <v>0.0</v>
      </c>
    </row>
    <row r="23">
      <c r="A23" s="3" t="s">
        <v>38</v>
      </c>
      <c r="B23" s="5">
        <f t="shared" si="1"/>
        <v>19</v>
      </c>
      <c r="C23" s="3">
        <v>0.0</v>
      </c>
    </row>
    <row r="24">
      <c r="A24" s="3" t="s">
        <v>38</v>
      </c>
      <c r="B24" s="5">
        <f t="shared" si="1"/>
        <v>20</v>
      </c>
      <c r="C24" s="3">
        <v>0.0</v>
      </c>
    </row>
    <row r="25">
      <c r="A25" s="3" t="s">
        <v>38</v>
      </c>
      <c r="B25" s="5">
        <f t="shared" si="1"/>
        <v>21</v>
      </c>
      <c r="C25" s="3">
        <v>0.0</v>
      </c>
    </row>
    <row r="26">
      <c r="A26" s="17" t="s">
        <v>41</v>
      </c>
      <c r="B26" s="3">
        <v>1.0</v>
      </c>
      <c r="C26" s="3">
        <v>0.0</v>
      </c>
    </row>
    <row r="27">
      <c r="A27" s="17" t="s">
        <v>41</v>
      </c>
      <c r="B27" s="5">
        <f t="shared" ref="B27:B67" si="2">B26+1</f>
        <v>2</v>
      </c>
      <c r="C27" s="3">
        <v>0.0</v>
      </c>
    </row>
    <row r="28">
      <c r="A28" s="17" t="s">
        <v>41</v>
      </c>
      <c r="B28" s="5">
        <f t="shared" si="2"/>
        <v>3</v>
      </c>
      <c r="C28" s="3">
        <v>0.0</v>
      </c>
    </row>
    <row r="29">
      <c r="A29" s="17" t="s">
        <v>41</v>
      </c>
      <c r="B29" s="5">
        <f t="shared" si="2"/>
        <v>4</v>
      </c>
      <c r="C29" s="3">
        <v>0.0</v>
      </c>
    </row>
    <row r="30">
      <c r="A30" s="17" t="s">
        <v>41</v>
      </c>
      <c r="B30" s="5">
        <f t="shared" si="2"/>
        <v>5</v>
      </c>
      <c r="C30" s="3">
        <v>0.0</v>
      </c>
    </row>
    <row r="31">
      <c r="A31" s="17" t="s">
        <v>41</v>
      </c>
      <c r="B31" s="5">
        <f t="shared" si="2"/>
        <v>6</v>
      </c>
      <c r="C31" s="3">
        <v>0.0</v>
      </c>
    </row>
    <row r="32">
      <c r="A32" s="17" t="s">
        <v>41</v>
      </c>
      <c r="B32" s="5">
        <f t="shared" si="2"/>
        <v>7</v>
      </c>
      <c r="C32" s="3">
        <v>0.0</v>
      </c>
    </row>
    <row r="33">
      <c r="A33" s="17" t="s">
        <v>41</v>
      </c>
      <c r="B33" s="5">
        <f t="shared" si="2"/>
        <v>8</v>
      </c>
      <c r="C33" s="3">
        <v>0.0</v>
      </c>
    </row>
    <row r="34">
      <c r="A34" s="17" t="s">
        <v>41</v>
      </c>
      <c r="B34" s="5">
        <f t="shared" si="2"/>
        <v>9</v>
      </c>
      <c r="C34" s="3">
        <v>0.0</v>
      </c>
    </row>
    <row r="35">
      <c r="A35" s="17" t="s">
        <v>41</v>
      </c>
      <c r="B35" s="5">
        <f t="shared" si="2"/>
        <v>10</v>
      </c>
      <c r="C35" s="3">
        <v>0.0</v>
      </c>
    </row>
    <row r="36">
      <c r="A36" s="17" t="s">
        <v>41</v>
      </c>
      <c r="B36" s="5">
        <f t="shared" si="2"/>
        <v>11</v>
      </c>
      <c r="C36" s="3">
        <v>0.0</v>
      </c>
    </row>
    <row r="37">
      <c r="A37" s="17" t="s">
        <v>41</v>
      </c>
      <c r="B37" s="5">
        <f t="shared" si="2"/>
        <v>12</v>
      </c>
      <c r="C37" s="3">
        <v>0.0</v>
      </c>
    </row>
    <row r="38">
      <c r="A38" s="17" t="s">
        <v>41</v>
      </c>
      <c r="B38" s="5">
        <f t="shared" si="2"/>
        <v>13</v>
      </c>
      <c r="C38" s="3">
        <v>0.0</v>
      </c>
    </row>
    <row r="39">
      <c r="A39" s="17" t="s">
        <v>41</v>
      </c>
      <c r="B39" s="5">
        <f t="shared" si="2"/>
        <v>14</v>
      </c>
      <c r="C39" s="3">
        <v>0.0</v>
      </c>
    </row>
    <row r="40">
      <c r="A40" s="17" t="s">
        <v>41</v>
      </c>
      <c r="B40" s="5">
        <f t="shared" si="2"/>
        <v>15</v>
      </c>
      <c r="C40" s="3">
        <v>0.0</v>
      </c>
    </row>
    <row r="41">
      <c r="A41" s="17" t="s">
        <v>41</v>
      </c>
      <c r="B41" s="5">
        <f t="shared" si="2"/>
        <v>16</v>
      </c>
      <c r="C41" s="3">
        <v>0.0</v>
      </c>
    </row>
    <row r="42">
      <c r="A42" s="17" t="s">
        <v>41</v>
      </c>
      <c r="B42" s="5">
        <f t="shared" si="2"/>
        <v>17</v>
      </c>
      <c r="C42" s="3">
        <v>0.0</v>
      </c>
    </row>
    <row r="43">
      <c r="A43" s="17" t="s">
        <v>41</v>
      </c>
      <c r="B43" s="5">
        <f t="shared" si="2"/>
        <v>18</v>
      </c>
      <c r="C43" s="3">
        <v>0.0</v>
      </c>
    </row>
    <row r="44">
      <c r="A44" s="17" t="s">
        <v>41</v>
      </c>
      <c r="B44" s="5">
        <f t="shared" si="2"/>
        <v>19</v>
      </c>
      <c r="C44" s="3">
        <v>0.0</v>
      </c>
    </row>
    <row r="45">
      <c r="A45" s="17" t="s">
        <v>41</v>
      </c>
      <c r="B45" s="5">
        <f t="shared" si="2"/>
        <v>20</v>
      </c>
      <c r="C45" s="3">
        <v>0.0</v>
      </c>
    </row>
    <row r="46">
      <c r="A46" s="17" t="s">
        <v>41</v>
      </c>
      <c r="B46" s="5">
        <f t="shared" si="2"/>
        <v>21</v>
      </c>
      <c r="C46" s="3">
        <v>0.0</v>
      </c>
    </row>
    <row r="47">
      <c r="A47" s="17" t="s">
        <v>41</v>
      </c>
      <c r="B47" s="5">
        <f t="shared" si="2"/>
        <v>22</v>
      </c>
      <c r="C47" s="3">
        <v>0.0</v>
      </c>
    </row>
    <row r="48">
      <c r="A48" s="17" t="s">
        <v>41</v>
      </c>
      <c r="B48" s="5">
        <f t="shared" si="2"/>
        <v>23</v>
      </c>
      <c r="C48" s="3">
        <v>0.0</v>
      </c>
    </row>
    <row r="49">
      <c r="A49" s="17" t="s">
        <v>41</v>
      </c>
      <c r="B49" s="5">
        <f t="shared" si="2"/>
        <v>24</v>
      </c>
      <c r="C49" s="3">
        <v>0.0</v>
      </c>
    </row>
    <row r="50">
      <c r="A50" s="17" t="s">
        <v>41</v>
      </c>
      <c r="B50" s="5">
        <f t="shared" si="2"/>
        <v>25</v>
      </c>
      <c r="C50" s="3">
        <v>0.0</v>
      </c>
    </row>
    <row r="51">
      <c r="A51" s="17" t="s">
        <v>41</v>
      </c>
      <c r="B51" s="5">
        <f t="shared" si="2"/>
        <v>26</v>
      </c>
      <c r="C51" s="3">
        <v>0.0</v>
      </c>
    </row>
    <row r="52">
      <c r="A52" s="17" t="s">
        <v>41</v>
      </c>
      <c r="B52" s="5">
        <f t="shared" si="2"/>
        <v>27</v>
      </c>
      <c r="C52" s="3">
        <v>0.0</v>
      </c>
    </row>
    <row r="53">
      <c r="A53" s="17" t="s">
        <v>41</v>
      </c>
      <c r="B53" s="5">
        <f t="shared" si="2"/>
        <v>28</v>
      </c>
      <c r="C53" s="3">
        <v>0.0</v>
      </c>
    </row>
    <row r="54">
      <c r="A54" s="17" t="s">
        <v>41</v>
      </c>
      <c r="B54" s="5">
        <f t="shared" si="2"/>
        <v>29</v>
      </c>
      <c r="C54" s="3">
        <v>0.0</v>
      </c>
    </row>
    <row r="55">
      <c r="A55" s="17" t="s">
        <v>41</v>
      </c>
      <c r="B55" s="5">
        <f t="shared" si="2"/>
        <v>30</v>
      </c>
      <c r="C55" s="3">
        <v>0.0</v>
      </c>
    </row>
    <row r="56">
      <c r="A56" s="17" t="s">
        <v>41</v>
      </c>
      <c r="B56" s="5">
        <f t="shared" si="2"/>
        <v>31</v>
      </c>
      <c r="C56" s="3">
        <v>0.0</v>
      </c>
    </row>
    <row r="57">
      <c r="A57" s="17" t="s">
        <v>41</v>
      </c>
      <c r="B57" s="5">
        <f t="shared" si="2"/>
        <v>32</v>
      </c>
      <c r="C57" s="3">
        <v>0.0</v>
      </c>
    </row>
    <row r="58">
      <c r="A58" s="17" t="s">
        <v>41</v>
      </c>
      <c r="B58" s="5">
        <f t="shared" si="2"/>
        <v>33</v>
      </c>
      <c r="C58" s="3">
        <v>0.0</v>
      </c>
    </row>
    <row r="59">
      <c r="A59" s="17" t="s">
        <v>41</v>
      </c>
      <c r="B59" s="5">
        <f t="shared" si="2"/>
        <v>34</v>
      </c>
      <c r="C59" s="3">
        <v>0.0</v>
      </c>
    </row>
    <row r="60">
      <c r="A60" s="17" t="s">
        <v>41</v>
      </c>
      <c r="B60" s="5">
        <f t="shared" si="2"/>
        <v>35</v>
      </c>
      <c r="C60" s="3">
        <v>0.0</v>
      </c>
    </row>
    <row r="61">
      <c r="A61" s="17" t="s">
        <v>41</v>
      </c>
      <c r="B61" s="5">
        <f t="shared" si="2"/>
        <v>36</v>
      </c>
      <c r="C61" s="3">
        <v>0.0</v>
      </c>
    </row>
    <row r="62">
      <c r="A62" s="17" t="s">
        <v>41</v>
      </c>
      <c r="B62" s="5">
        <f t="shared" si="2"/>
        <v>37</v>
      </c>
      <c r="C62" s="3">
        <v>0.0</v>
      </c>
    </row>
    <row r="63">
      <c r="A63" s="17" t="s">
        <v>41</v>
      </c>
      <c r="B63" s="5">
        <f t="shared" si="2"/>
        <v>38</v>
      </c>
      <c r="C63" s="3">
        <v>0.0</v>
      </c>
    </row>
    <row r="64">
      <c r="A64" s="17" t="s">
        <v>41</v>
      </c>
      <c r="B64" s="5">
        <f t="shared" si="2"/>
        <v>39</v>
      </c>
      <c r="C64" s="3">
        <v>0.0</v>
      </c>
    </row>
    <row r="65">
      <c r="A65" s="17" t="s">
        <v>41</v>
      </c>
      <c r="B65" s="5">
        <f t="shared" si="2"/>
        <v>40</v>
      </c>
      <c r="C65" s="3">
        <v>0.0</v>
      </c>
    </row>
    <row r="66">
      <c r="A66" s="17" t="s">
        <v>41</v>
      </c>
      <c r="B66" s="5">
        <f t="shared" si="2"/>
        <v>41</v>
      </c>
      <c r="C66" s="3">
        <v>0.0</v>
      </c>
    </row>
    <row r="67">
      <c r="A67" s="17" t="s">
        <v>41</v>
      </c>
      <c r="B67" s="5">
        <f t="shared" si="2"/>
        <v>42</v>
      </c>
      <c r="C67" s="3">
        <v>0.0</v>
      </c>
    </row>
    <row r="68">
      <c r="A68" s="17" t="s">
        <v>39</v>
      </c>
      <c r="B68" s="3">
        <v>1.0</v>
      </c>
      <c r="C68" s="3">
        <v>0.0</v>
      </c>
    </row>
    <row r="69">
      <c r="A69" s="17" t="s">
        <v>39</v>
      </c>
      <c r="B69" s="5">
        <f t="shared" ref="B69:B155" si="3">B68+1</f>
        <v>2</v>
      </c>
      <c r="C69" s="3">
        <v>0.0</v>
      </c>
    </row>
    <row r="70">
      <c r="A70" s="17" t="s">
        <v>39</v>
      </c>
      <c r="B70" s="5">
        <f t="shared" si="3"/>
        <v>3</v>
      </c>
      <c r="C70" s="3">
        <v>0.0</v>
      </c>
    </row>
    <row r="71">
      <c r="A71" s="17" t="s">
        <v>39</v>
      </c>
      <c r="B71" s="5">
        <f t="shared" si="3"/>
        <v>4</v>
      </c>
      <c r="C71" s="3">
        <v>0.0</v>
      </c>
    </row>
    <row r="72">
      <c r="A72" s="17" t="s">
        <v>39</v>
      </c>
      <c r="B72" s="5">
        <f t="shared" si="3"/>
        <v>5</v>
      </c>
      <c r="C72" s="3">
        <v>0.0</v>
      </c>
    </row>
    <row r="73">
      <c r="A73" s="17" t="s">
        <v>39</v>
      </c>
      <c r="B73" s="5">
        <f t="shared" si="3"/>
        <v>6</v>
      </c>
      <c r="C73" s="3">
        <v>0.0</v>
      </c>
    </row>
    <row r="74">
      <c r="A74" s="17" t="s">
        <v>39</v>
      </c>
      <c r="B74" s="5">
        <f t="shared" si="3"/>
        <v>7</v>
      </c>
      <c r="C74" s="3">
        <v>0.0</v>
      </c>
    </row>
    <row r="75">
      <c r="A75" s="17" t="s">
        <v>39</v>
      </c>
      <c r="B75" s="5">
        <f t="shared" si="3"/>
        <v>8</v>
      </c>
      <c r="C75" s="3">
        <v>0.0</v>
      </c>
    </row>
    <row r="76">
      <c r="A76" s="17" t="s">
        <v>39</v>
      </c>
      <c r="B76" s="5">
        <f t="shared" si="3"/>
        <v>9</v>
      </c>
      <c r="C76" s="3">
        <v>0.0</v>
      </c>
    </row>
    <row r="77">
      <c r="A77" s="17" t="s">
        <v>39</v>
      </c>
      <c r="B77" s="5">
        <f t="shared" si="3"/>
        <v>10</v>
      </c>
      <c r="C77" s="3">
        <v>0.0</v>
      </c>
    </row>
    <row r="78">
      <c r="A78" s="17" t="s">
        <v>39</v>
      </c>
      <c r="B78" s="5">
        <f t="shared" si="3"/>
        <v>11</v>
      </c>
      <c r="C78" s="3">
        <v>0.0</v>
      </c>
    </row>
    <row r="79">
      <c r="A79" s="17" t="s">
        <v>39</v>
      </c>
      <c r="B79" s="5">
        <f t="shared" si="3"/>
        <v>12</v>
      </c>
      <c r="C79" s="3">
        <v>0.0</v>
      </c>
    </row>
    <row r="80">
      <c r="A80" s="17" t="s">
        <v>39</v>
      </c>
      <c r="B80" s="5">
        <f t="shared" si="3"/>
        <v>13</v>
      </c>
      <c r="C80" s="3">
        <v>0.0</v>
      </c>
    </row>
    <row r="81">
      <c r="A81" s="17" t="s">
        <v>39</v>
      </c>
      <c r="B81" s="5">
        <f t="shared" si="3"/>
        <v>14</v>
      </c>
      <c r="C81" s="3">
        <v>0.0</v>
      </c>
    </row>
    <row r="82">
      <c r="A82" s="17" t="s">
        <v>39</v>
      </c>
      <c r="B82" s="5">
        <f t="shared" si="3"/>
        <v>15</v>
      </c>
      <c r="C82" s="3">
        <v>0.0</v>
      </c>
    </row>
    <row r="83">
      <c r="A83" s="17" t="s">
        <v>39</v>
      </c>
      <c r="B83" s="5">
        <f t="shared" si="3"/>
        <v>16</v>
      </c>
      <c r="C83" s="3">
        <v>0.0</v>
      </c>
    </row>
    <row r="84">
      <c r="A84" s="17" t="s">
        <v>39</v>
      </c>
      <c r="B84" s="5">
        <f t="shared" si="3"/>
        <v>17</v>
      </c>
      <c r="C84" s="3">
        <v>0.0</v>
      </c>
    </row>
    <row r="85">
      <c r="A85" s="17" t="s">
        <v>39</v>
      </c>
      <c r="B85" s="5">
        <f t="shared" si="3"/>
        <v>18</v>
      </c>
      <c r="C85" s="3">
        <v>0.0</v>
      </c>
    </row>
    <row r="86">
      <c r="A86" s="17" t="s">
        <v>39</v>
      </c>
      <c r="B86" s="5">
        <f t="shared" si="3"/>
        <v>19</v>
      </c>
      <c r="C86" s="3">
        <v>0.0</v>
      </c>
    </row>
    <row r="87">
      <c r="A87" s="17" t="s">
        <v>39</v>
      </c>
      <c r="B87" s="5">
        <f t="shared" si="3"/>
        <v>20</v>
      </c>
      <c r="C87" s="3">
        <v>0.0</v>
      </c>
    </row>
    <row r="88">
      <c r="A88" s="17" t="s">
        <v>39</v>
      </c>
      <c r="B88" s="5">
        <f t="shared" si="3"/>
        <v>21</v>
      </c>
      <c r="C88" s="3">
        <v>0.0</v>
      </c>
    </row>
    <row r="89">
      <c r="A89" s="17" t="s">
        <v>39</v>
      </c>
      <c r="B89" s="5">
        <f t="shared" si="3"/>
        <v>22</v>
      </c>
      <c r="C89" s="3">
        <v>0.0</v>
      </c>
    </row>
    <row r="90">
      <c r="A90" s="17" t="s">
        <v>39</v>
      </c>
      <c r="B90" s="5">
        <f t="shared" si="3"/>
        <v>23</v>
      </c>
      <c r="C90" s="3">
        <v>0.0</v>
      </c>
    </row>
    <row r="91">
      <c r="A91" s="17" t="s">
        <v>39</v>
      </c>
      <c r="B91" s="5">
        <f t="shared" si="3"/>
        <v>24</v>
      </c>
      <c r="C91" s="3">
        <v>0.0</v>
      </c>
    </row>
    <row r="92">
      <c r="A92" s="17" t="s">
        <v>39</v>
      </c>
      <c r="B92" s="5">
        <f t="shared" si="3"/>
        <v>25</v>
      </c>
      <c r="C92" s="3">
        <v>0.0</v>
      </c>
    </row>
    <row r="93">
      <c r="A93" s="17" t="s">
        <v>39</v>
      </c>
      <c r="B93" s="5">
        <f t="shared" si="3"/>
        <v>26</v>
      </c>
      <c r="C93" s="3">
        <v>0.0</v>
      </c>
    </row>
    <row r="94">
      <c r="A94" s="17" t="s">
        <v>39</v>
      </c>
      <c r="B94" s="5">
        <f t="shared" si="3"/>
        <v>27</v>
      </c>
      <c r="C94" s="3">
        <v>0.0</v>
      </c>
    </row>
    <row r="95">
      <c r="A95" s="17" t="s">
        <v>39</v>
      </c>
      <c r="B95" s="5">
        <f t="shared" si="3"/>
        <v>28</v>
      </c>
      <c r="C95" s="3">
        <v>0.0</v>
      </c>
    </row>
    <row r="96">
      <c r="A96" s="17" t="s">
        <v>39</v>
      </c>
      <c r="B96" s="5">
        <f t="shared" si="3"/>
        <v>29</v>
      </c>
      <c r="C96" s="3">
        <v>0.0</v>
      </c>
    </row>
    <row r="97">
      <c r="A97" s="17" t="s">
        <v>39</v>
      </c>
      <c r="B97" s="5">
        <f t="shared" si="3"/>
        <v>30</v>
      </c>
      <c r="C97" s="3">
        <v>0.0</v>
      </c>
    </row>
    <row r="98">
      <c r="A98" s="17" t="s">
        <v>39</v>
      </c>
      <c r="B98" s="5">
        <f t="shared" si="3"/>
        <v>31</v>
      </c>
      <c r="C98" s="3">
        <v>0.0</v>
      </c>
    </row>
    <row r="99">
      <c r="A99" s="17" t="s">
        <v>39</v>
      </c>
      <c r="B99" s="5">
        <f t="shared" si="3"/>
        <v>32</v>
      </c>
      <c r="C99" s="3">
        <v>0.0</v>
      </c>
    </row>
    <row r="100">
      <c r="A100" s="17" t="s">
        <v>39</v>
      </c>
      <c r="B100" s="5">
        <f t="shared" si="3"/>
        <v>33</v>
      </c>
      <c r="C100" s="3">
        <v>0.0</v>
      </c>
    </row>
    <row r="101">
      <c r="A101" s="17" t="s">
        <v>39</v>
      </c>
      <c r="B101" s="5">
        <f t="shared" si="3"/>
        <v>34</v>
      </c>
      <c r="C101" s="3">
        <v>0.0</v>
      </c>
    </row>
    <row r="102">
      <c r="A102" s="17" t="s">
        <v>39</v>
      </c>
      <c r="B102" s="5">
        <f t="shared" si="3"/>
        <v>35</v>
      </c>
      <c r="C102" s="3">
        <v>0.0</v>
      </c>
    </row>
    <row r="103">
      <c r="A103" s="17" t="s">
        <v>39</v>
      </c>
      <c r="B103" s="5">
        <f t="shared" si="3"/>
        <v>36</v>
      </c>
      <c r="C103" s="3">
        <v>0.0</v>
      </c>
    </row>
    <row r="104">
      <c r="A104" s="17" t="s">
        <v>39</v>
      </c>
      <c r="B104" s="5">
        <f t="shared" si="3"/>
        <v>37</v>
      </c>
      <c r="C104" s="3">
        <v>0.0</v>
      </c>
    </row>
    <row r="105">
      <c r="A105" s="17" t="s">
        <v>39</v>
      </c>
      <c r="B105" s="5">
        <f t="shared" si="3"/>
        <v>38</v>
      </c>
      <c r="C105" s="3">
        <v>0.0</v>
      </c>
    </row>
    <row r="106">
      <c r="A106" s="17" t="s">
        <v>39</v>
      </c>
      <c r="B106" s="5">
        <f t="shared" si="3"/>
        <v>39</v>
      </c>
      <c r="C106" s="3">
        <v>0.0</v>
      </c>
    </row>
    <row r="107">
      <c r="A107" s="17" t="s">
        <v>39</v>
      </c>
      <c r="B107" s="5">
        <f t="shared" si="3"/>
        <v>40</v>
      </c>
      <c r="C107" s="3">
        <v>0.0</v>
      </c>
    </row>
    <row r="108">
      <c r="A108" s="17" t="s">
        <v>39</v>
      </c>
      <c r="B108" s="5">
        <f t="shared" si="3"/>
        <v>41</v>
      </c>
      <c r="C108" s="3">
        <v>0.0</v>
      </c>
    </row>
    <row r="109">
      <c r="A109" s="17" t="s">
        <v>39</v>
      </c>
      <c r="B109" s="5">
        <f t="shared" si="3"/>
        <v>42</v>
      </c>
      <c r="C109" s="3">
        <v>0.0</v>
      </c>
    </row>
    <row r="110">
      <c r="A110" s="17" t="s">
        <v>39</v>
      </c>
      <c r="B110" s="5">
        <f t="shared" si="3"/>
        <v>43</v>
      </c>
      <c r="C110" s="3">
        <v>0.0</v>
      </c>
    </row>
    <row r="111">
      <c r="A111" s="17" t="s">
        <v>39</v>
      </c>
      <c r="B111" s="5">
        <f t="shared" si="3"/>
        <v>44</v>
      </c>
      <c r="C111" s="3">
        <v>0.0</v>
      </c>
    </row>
    <row r="112">
      <c r="A112" s="17" t="s">
        <v>39</v>
      </c>
      <c r="B112" s="5">
        <f t="shared" si="3"/>
        <v>45</v>
      </c>
      <c r="C112" s="3">
        <v>0.0</v>
      </c>
    </row>
    <row r="113">
      <c r="A113" s="17" t="s">
        <v>39</v>
      </c>
      <c r="B113" s="5">
        <f t="shared" si="3"/>
        <v>46</v>
      </c>
      <c r="C113" s="3">
        <v>0.0</v>
      </c>
    </row>
    <row r="114">
      <c r="A114" s="17" t="s">
        <v>39</v>
      </c>
      <c r="B114" s="5">
        <f t="shared" si="3"/>
        <v>47</v>
      </c>
      <c r="C114" s="3">
        <v>0.0</v>
      </c>
    </row>
    <row r="115">
      <c r="A115" s="17" t="s">
        <v>39</v>
      </c>
      <c r="B115" s="5">
        <f t="shared" si="3"/>
        <v>48</v>
      </c>
      <c r="C115" s="3">
        <v>0.0</v>
      </c>
    </row>
    <row r="116">
      <c r="A116" s="17" t="s">
        <v>39</v>
      </c>
      <c r="B116" s="5">
        <f t="shared" si="3"/>
        <v>49</v>
      </c>
      <c r="C116" s="3">
        <v>0.0</v>
      </c>
    </row>
    <row r="117">
      <c r="A117" s="17" t="s">
        <v>39</v>
      </c>
      <c r="B117" s="5">
        <f t="shared" si="3"/>
        <v>50</v>
      </c>
      <c r="C117" s="3">
        <v>0.0</v>
      </c>
    </row>
    <row r="118">
      <c r="A118" s="17" t="s">
        <v>39</v>
      </c>
      <c r="B118" s="5">
        <f t="shared" si="3"/>
        <v>51</v>
      </c>
      <c r="C118" s="3">
        <v>0.0</v>
      </c>
    </row>
    <row r="119">
      <c r="A119" s="17" t="s">
        <v>39</v>
      </c>
      <c r="B119" s="5">
        <f t="shared" si="3"/>
        <v>52</v>
      </c>
      <c r="C119" s="3">
        <v>0.0</v>
      </c>
    </row>
    <row r="120">
      <c r="A120" s="17" t="s">
        <v>39</v>
      </c>
      <c r="B120" s="5">
        <f t="shared" si="3"/>
        <v>53</v>
      </c>
      <c r="C120" s="3">
        <v>0.0</v>
      </c>
    </row>
    <row r="121">
      <c r="A121" s="17" t="s">
        <v>39</v>
      </c>
      <c r="B121" s="5">
        <f t="shared" si="3"/>
        <v>54</v>
      </c>
      <c r="C121" s="3">
        <v>0.0</v>
      </c>
    </row>
    <row r="122">
      <c r="A122" s="17" t="s">
        <v>39</v>
      </c>
      <c r="B122" s="5">
        <f t="shared" si="3"/>
        <v>55</v>
      </c>
      <c r="C122" s="3">
        <v>0.0</v>
      </c>
    </row>
    <row r="123">
      <c r="A123" s="17" t="s">
        <v>39</v>
      </c>
      <c r="B123" s="5">
        <f t="shared" si="3"/>
        <v>56</v>
      </c>
      <c r="C123" s="3">
        <v>0.0</v>
      </c>
    </row>
    <row r="124">
      <c r="A124" s="17" t="s">
        <v>39</v>
      </c>
      <c r="B124" s="5">
        <f t="shared" si="3"/>
        <v>57</v>
      </c>
      <c r="C124" s="3">
        <v>0.0</v>
      </c>
    </row>
    <row r="125">
      <c r="A125" s="17" t="s">
        <v>39</v>
      </c>
      <c r="B125" s="5">
        <f t="shared" si="3"/>
        <v>58</v>
      </c>
      <c r="C125" s="3">
        <v>0.0</v>
      </c>
    </row>
    <row r="126">
      <c r="A126" s="17" t="s">
        <v>39</v>
      </c>
      <c r="B126" s="5">
        <f t="shared" si="3"/>
        <v>59</v>
      </c>
      <c r="C126" s="3">
        <v>0.0</v>
      </c>
    </row>
    <row r="127">
      <c r="A127" s="17" t="s">
        <v>39</v>
      </c>
      <c r="B127" s="5">
        <f t="shared" si="3"/>
        <v>60</v>
      </c>
      <c r="C127" s="3">
        <v>0.0</v>
      </c>
    </row>
    <row r="128">
      <c r="A128" s="17" t="s">
        <v>39</v>
      </c>
      <c r="B128" s="5">
        <f t="shared" si="3"/>
        <v>61</v>
      </c>
      <c r="C128" s="3">
        <v>0.0</v>
      </c>
    </row>
    <row r="129">
      <c r="A129" s="17" t="s">
        <v>39</v>
      </c>
      <c r="B129" s="5">
        <f t="shared" si="3"/>
        <v>62</v>
      </c>
      <c r="C129" s="3">
        <v>0.0</v>
      </c>
    </row>
    <row r="130">
      <c r="A130" s="17" t="s">
        <v>39</v>
      </c>
      <c r="B130" s="5">
        <f t="shared" si="3"/>
        <v>63</v>
      </c>
      <c r="C130" s="3">
        <v>0.0</v>
      </c>
    </row>
    <row r="131">
      <c r="A131" s="17" t="s">
        <v>39</v>
      </c>
      <c r="B131" s="5">
        <f t="shared" si="3"/>
        <v>64</v>
      </c>
      <c r="C131" s="3">
        <v>0.0</v>
      </c>
    </row>
    <row r="132">
      <c r="A132" s="17" t="s">
        <v>39</v>
      </c>
      <c r="B132" s="5">
        <f t="shared" si="3"/>
        <v>65</v>
      </c>
      <c r="C132" s="3">
        <v>0.0</v>
      </c>
    </row>
    <row r="133">
      <c r="A133" s="17" t="s">
        <v>39</v>
      </c>
      <c r="B133" s="5">
        <f t="shared" si="3"/>
        <v>66</v>
      </c>
      <c r="C133" s="3">
        <v>0.0</v>
      </c>
    </row>
    <row r="134">
      <c r="A134" s="17" t="s">
        <v>39</v>
      </c>
      <c r="B134" s="5">
        <f t="shared" si="3"/>
        <v>67</v>
      </c>
      <c r="C134" s="3">
        <v>0.0</v>
      </c>
    </row>
    <row r="135">
      <c r="A135" s="17" t="s">
        <v>39</v>
      </c>
      <c r="B135" s="5">
        <f t="shared" si="3"/>
        <v>68</v>
      </c>
      <c r="C135" s="3">
        <v>0.0</v>
      </c>
    </row>
    <row r="136">
      <c r="A136" s="17" t="s">
        <v>39</v>
      </c>
      <c r="B136" s="5">
        <f t="shared" si="3"/>
        <v>69</v>
      </c>
      <c r="C136" s="3">
        <v>0.0</v>
      </c>
    </row>
    <row r="137">
      <c r="A137" s="17" t="s">
        <v>39</v>
      </c>
      <c r="B137" s="5">
        <f t="shared" si="3"/>
        <v>70</v>
      </c>
      <c r="C137" s="3">
        <v>0.0</v>
      </c>
    </row>
    <row r="138">
      <c r="A138" s="17" t="s">
        <v>39</v>
      </c>
      <c r="B138" s="5">
        <f t="shared" si="3"/>
        <v>71</v>
      </c>
      <c r="C138" s="3">
        <v>0.0</v>
      </c>
    </row>
    <row r="139">
      <c r="A139" s="17" t="s">
        <v>39</v>
      </c>
      <c r="B139" s="5">
        <f t="shared" si="3"/>
        <v>72</v>
      </c>
      <c r="C139" s="3">
        <v>0.0</v>
      </c>
    </row>
    <row r="140">
      <c r="A140" s="17" t="s">
        <v>39</v>
      </c>
      <c r="B140" s="5">
        <f t="shared" si="3"/>
        <v>73</v>
      </c>
      <c r="C140" s="3">
        <v>0.0</v>
      </c>
    </row>
    <row r="141">
      <c r="A141" s="17" t="s">
        <v>39</v>
      </c>
      <c r="B141" s="5">
        <f t="shared" si="3"/>
        <v>74</v>
      </c>
      <c r="C141" s="3">
        <v>0.0</v>
      </c>
    </row>
    <row r="142">
      <c r="A142" s="17" t="s">
        <v>39</v>
      </c>
      <c r="B142" s="5">
        <f t="shared" si="3"/>
        <v>75</v>
      </c>
      <c r="C142" s="3">
        <v>0.0</v>
      </c>
    </row>
    <row r="143">
      <c r="A143" s="17" t="s">
        <v>39</v>
      </c>
      <c r="B143" s="5">
        <f t="shared" si="3"/>
        <v>76</v>
      </c>
      <c r="C143" s="3">
        <v>0.0</v>
      </c>
    </row>
    <row r="144">
      <c r="A144" s="17" t="s">
        <v>39</v>
      </c>
      <c r="B144" s="5">
        <f t="shared" si="3"/>
        <v>77</v>
      </c>
      <c r="C144" s="3">
        <v>0.0</v>
      </c>
    </row>
    <row r="145">
      <c r="A145" s="17" t="s">
        <v>39</v>
      </c>
      <c r="B145" s="5">
        <f t="shared" si="3"/>
        <v>78</v>
      </c>
      <c r="C145" s="3">
        <v>0.0</v>
      </c>
    </row>
    <row r="146">
      <c r="A146" s="17" t="s">
        <v>39</v>
      </c>
      <c r="B146" s="5">
        <f t="shared" si="3"/>
        <v>79</v>
      </c>
      <c r="C146" s="3">
        <v>0.0</v>
      </c>
    </row>
    <row r="147">
      <c r="A147" s="17" t="s">
        <v>39</v>
      </c>
      <c r="B147" s="5">
        <f t="shared" si="3"/>
        <v>80</v>
      </c>
      <c r="C147" s="3">
        <v>0.0</v>
      </c>
    </row>
    <row r="148">
      <c r="A148" s="17" t="s">
        <v>39</v>
      </c>
      <c r="B148" s="5">
        <f t="shared" si="3"/>
        <v>81</v>
      </c>
      <c r="C148" s="3">
        <v>0.0</v>
      </c>
    </row>
    <row r="149">
      <c r="A149" s="17" t="s">
        <v>39</v>
      </c>
      <c r="B149" s="5">
        <f t="shared" si="3"/>
        <v>82</v>
      </c>
      <c r="C149" s="3">
        <v>0.0</v>
      </c>
    </row>
    <row r="150">
      <c r="A150" s="17" t="s">
        <v>39</v>
      </c>
      <c r="B150" s="5">
        <f t="shared" si="3"/>
        <v>83</v>
      </c>
      <c r="C150" s="3">
        <v>0.0</v>
      </c>
    </row>
    <row r="151">
      <c r="A151" s="17" t="s">
        <v>39</v>
      </c>
      <c r="B151" s="5">
        <f t="shared" si="3"/>
        <v>84</v>
      </c>
      <c r="C151" s="3">
        <v>0.0</v>
      </c>
    </row>
    <row r="152">
      <c r="A152" s="17" t="s">
        <v>39</v>
      </c>
      <c r="B152" s="5">
        <f t="shared" si="3"/>
        <v>85</v>
      </c>
      <c r="C152" s="3">
        <v>0.0</v>
      </c>
    </row>
    <row r="153">
      <c r="A153" s="17" t="s">
        <v>39</v>
      </c>
      <c r="B153" s="5">
        <f t="shared" si="3"/>
        <v>86</v>
      </c>
      <c r="C153" s="3">
        <v>0.0</v>
      </c>
    </row>
    <row r="154">
      <c r="A154" s="17" t="s">
        <v>39</v>
      </c>
      <c r="B154" s="5">
        <f t="shared" si="3"/>
        <v>87</v>
      </c>
      <c r="C154" s="3">
        <v>0.0</v>
      </c>
    </row>
    <row r="155">
      <c r="A155" s="17" t="s">
        <v>39</v>
      </c>
      <c r="B155" s="5">
        <f t="shared" si="3"/>
        <v>88</v>
      </c>
      <c r="C155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21.88"/>
    <col customWidth="1" min="5" max="5" width="21.0"/>
  </cols>
  <sheetData>
    <row r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>
      <c r="A2" s="16" t="s">
        <v>51</v>
      </c>
      <c r="B2" s="17" t="s">
        <v>39</v>
      </c>
      <c r="C2" s="3">
        <v>12.0</v>
      </c>
      <c r="D2" s="3">
        <v>12.0</v>
      </c>
      <c r="E2" s="20">
        <v>34200.0</v>
      </c>
      <c r="F2" s="21"/>
    </row>
    <row r="3">
      <c r="A3" s="16" t="s">
        <v>52</v>
      </c>
      <c r="B3" s="17" t="s">
        <v>44</v>
      </c>
      <c r="C3" s="3">
        <v>12.0</v>
      </c>
      <c r="D3" s="3">
        <v>12.0</v>
      </c>
      <c r="E3" s="20">
        <v>65636.0</v>
      </c>
      <c r="F3" s="21"/>
    </row>
    <row r="4">
      <c r="A4" s="22" t="s">
        <v>53</v>
      </c>
      <c r="B4" s="23" t="s">
        <v>40</v>
      </c>
      <c r="C4" s="24">
        <v>12.0</v>
      </c>
      <c r="D4" s="24">
        <v>12.0</v>
      </c>
      <c r="E4" s="25">
        <f>177369/2</f>
        <v>88684.5</v>
      </c>
      <c r="F4" s="21"/>
    </row>
    <row r="5">
      <c r="A5" s="16" t="s">
        <v>29</v>
      </c>
      <c r="B5" s="17" t="s">
        <v>37</v>
      </c>
      <c r="C5" s="3">
        <v>12.0</v>
      </c>
      <c r="D5" s="3">
        <v>12.0</v>
      </c>
      <c r="E5" s="20">
        <v>155957.0</v>
      </c>
      <c r="F5" s="21"/>
    </row>
    <row r="6">
      <c r="A6" s="16" t="s">
        <v>54</v>
      </c>
      <c r="B6" s="17" t="s">
        <v>37</v>
      </c>
      <c r="C6" s="3">
        <v>12.0</v>
      </c>
      <c r="D6" s="3">
        <v>12.0</v>
      </c>
      <c r="E6" s="20">
        <v>123373.0</v>
      </c>
      <c r="F6" s="21"/>
    </row>
    <row r="7">
      <c r="A7" s="16" t="s">
        <v>55</v>
      </c>
      <c r="B7" s="17" t="s">
        <v>38</v>
      </c>
      <c r="C7" s="3">
        <v>12.0</v>
      </c>
      <c r="D7" s="3">
        <v>12.0</v>
      </c>
      <c r="E7" s="20">
        <v>99321.0</v>
      </c>
      <c r="F7" s="21"/>
    </row>
    <row r="8">
      <c r="A8" s="16" t="s">
        <v>56</v>
      </c>
      <c r="B8" s="17" t="s">
        <v>43</v>
      </c>
      <c r="C8" s="3">
        <v>12.0</v>
      </c>
      <c r="D8" s="3">
        <v>12.0</v>
      </c>
      <c r="E8" s="20">
        <v>62674.0</v>
      </c>
      <c r="F8" s="21"/>
    </row>
    <row r="9">
      <c r="A9" s="16" t="s">
        <v>57</v>
      </c>
      <c r="B9" s="17" t="s">
        <v>41</v>
      </c>
      <c r="C9" s="3">
        <v>12.0</v>
      </c>
      <c r="D9" s="3">
        <v>12.0</v>
      </c>
      <c r="E9" s="20">
        <v>17151.0</v>
      </c>
      <c r="F9" s="21"/>
    </row>
    <row r="10">
      <c r="A10" s="16" t="s">
        <v>58</v>
      </c>
      <c r="B10" s="17" t="s">
        <v>42</v>
      </c>
      <c r="C10" s="3">
        <v>12.0</v>
      </c>
      <c r="D10" s="3">
        <v>12.0</v>
      </c>
      <c r="E10" s="20">
        <v>73997.0</v>
      </c>
      <c r="F10" s="21"/>
    </row>
    <row r="11">
      <c r="E11" s="18"/>
    </row>
    <row r="12">
      <c r="E12" s="18"/>
    </row>
    <row r="13">
      <c r="E13" s="18"/>
    </row>
    <row r="14">
      <c r="E14" s="18"/>
    </row>
    <row r="15">
      <c r="E15" s="18"/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>
      <c r="E23" s="18"/>
    </row>
    <row r="24">
      <c r="E24" s="18"/>
    </row>
    <row r="25">
      <c r="E25" s="18"/>
    </row>
    <row r="26">
      <c r="E26" s="18"/>
    </row>
    <row r="27">
      <c r="E27" s="18"/>
    </row>
    <row r="28">
      <c r="E28" s="18"/>
    </row>
    <row r="29">
      <c r="E29" s="18"/>
    </row>
    <row r="30">
      <c r="E30" s="18"/>
    </row>
    <row r="31">
      <c r="E31" s="18"/>
    </row>
    <row r="32">
      <c r="E32" s="18"/>
    </row>
    <row r="33">
      <c r="E33" s="18"/>
    </row>
    <row r="34">
      <c r="E34" s="18"/>
    </row>
    <row r="35">
      <c r="E35" s="18"/>
    </row>
    <row r="36">
      <c r="E36" s="18"/>
    </row>
    <row r="37">
      <c r="E37" s="18"/>
    </row>
    <row r="38">
      <c r="E38" s="18"/>
    </row>
    <row r="39">
      <c r="E39" s="18"/>
    </row>
    <row r="40">
      <c r="E40" s="18"/>
    </row>
    <row r="41">
      <c r="E41" s="18"/>
    </row>
    <row r="42">
      <c r="E42" s="18"/>
    </row>
    <row r="43">
      <c r="E43" s="18"/>
    </row>
    <row r="44">
      <c r="E44" s="18"/>
    </row>
    <row r="45">
      <c r="E45" s="18"/>
    </row>
    <row r="46">
      <c r="E46" s="18"/>
    </row>
    <row r="47">
      <c r="E47" s="18"/>
    </row>
    <row r="48">
      <c r="E48" s="18"/>
    </row>
    <row r="49">
      <c r="E49" s="18"/>
    </row>
    <row r="50">
      <c r="E50" s="18"/>
    </row>
    <row r="51">
      <c r="E51" s="18"/>
    </row>
    <row r="52">
      <c r="E52" s="18"/>
    </row>
    <row r="53">
      <c r="E53" s="18"/>
    </row>
    <row r="54">
      <c r="E54" s="18"/>
    </row>
    <row r="55">
      <c r="E55" s="18"/>
    </row>
    <row r="56">
      <c r="E56" s="18"/>
    </row>
    <row r="57">
      <c r="E57" s="18"/>
    </row>
    <row r="58">
      <c r="E58" s="18"/>
    </row>
    <row r="59">
      <c r="E59" s="18"/>
    </row>
    <row r="60">
      <c r="E60" s="18"/>
    </row>
    <row r="61">
      <c r="E61" s="18"/>
    </row>
    <row r="62">
      <c r="E62" s="18"/>
    </row>
    <row r="63">
      <c r="E63" s="18"/>
    </row>
    <row r="64">
      <c r="E64" s="18"/>
    </row>
    <row r="65">
      <c r="E65" s="18"/>
    </row>
    <row r="66">
      <c r="E66" s="18"/>
    </row>
    <row r="67">
      <c r="E67" s="18"/>
    </row>
    <row r="68">
      <c r="E68" s="18"/>
    </row>
    <row r="69">
      <c r="E69" s="18"/>
    </row>
    <row r="70">
      <c r="E70" s="18"/>
    </row>
    <row r="71">
      <c r="E71" s="18"/>
    </row>
    <row r="72">
      <c r="E72" s="18"/>
    </row>
    <row r="73">
      <c r="E73" s="18"/>
    </row>
    <row r="74">
      <c r="E74" s="18"/>
    </row>
    <row r="75">
      <c r="E75" s="18"/>
    </row>
    <row r="76">
      <c r="E76" s="18"/>
    </row>
    <row r="77">
      <c r="E77" s="18"/>
    </row>
    <row r="78">
      <c r="E78" s="18"/>
    </row>
    <row r="79">
      <c r="E79" s="18"/>
    </row>
    <row r="80">
      <c r="E80" s="18"/>
    </row>
    <row r="81">
      <c r="E81" s="18"/>
    </row>
    <row r="82">
      <c r="E82" s="18"/>
    </row>
    <row r="83">
      <c r="E83" s="18"/>
    </row>
    <row r="84">
      <c r="E84" s="18"/>
    </row>
    <row r="85">
      <c r="E85" s="18"/>
    </row>
    <row r="86">
      <c r="E86" s="18"/>
    </row>
    <row r="87">
      <c r="E87" s="18"/>
    </row>
    <row r="88">
      <c r="E88" s="18"/>
    </row>
    <row r="89">
      <c r="E89" s="18"/>
    </row>
    <row r="90">
      <c r="E90" s="18"/>
    </row>
    <row r="91">
      <c r="E91" s="18"/>
    </row>
    <row r="92">
      <c r="E92" s="18"/>
    </row>
    <row r="93">
      <c r="E93" s="18"/>
    </row>
    <row r="94">
      <c r="E94" s="18"/>
    </row>
    <row r="95">
      <c r="E95" s="18"/>
    </row>
    <row r="96">
      <c r="E96" s="18"/>
    </row>
    <row r="97">
      <c r="E97" s="18"/>
    </row>
    <row r="98">
      <c r="E98" s="18"/>
    </row>
    <row r="99">
      <c r="E99" s="18"/>
    </row>
    <row r="100">
      <c r="E100" s="18"/>
    </row>
    <row r="101">
      <c r="E101" s="18"/>
    </row>
    <row r="102">
      <c r="E102" s="18"/>
    </row>
    <row r="103">
      <c r="E103" s="18"/>
    </row>
    <row r="104">
      <c r="E104" s="18"/>
    </row>
    <row r="105">
      <c r="E105" s="18"/>
    </row>
    <row r="106">
      <c r="E106" s="18"/>
    </row>
    <row r="107">
      <c r="E107" s="18"/>
    </row>
    <row r="108">
      <c r="E108" s="18"/>
    </row>
    <row r="109">
      <c r="E109" s="18"/>
    </row>
    <row r="110">
      <c r="E110" s="18"/>
    </row>
    <row r="111">
      <c r="E111" s="18"/>
    </row>
    <row r="112">
      <c r="E112" s="18"/>
    </row>
    <row r="113">
      <c r="E113" s="18"/>
    </row>
    <row r="114">
      <c r="E114" s="18"/>
    </row>
    <row r="115">
      <c r="E115" s="18"/>
    </row>
    <row r="116">
      <c r="E116" s="18"/>
    </row>
    <row r="117">
      <c r="E117" s="18"/>
    </row>
    <row r="118">
      <c r="E118" s="18"/>
    </row>
    <row r="119">
      <c r="E119" s="18"/>
    </row>
    <row r="120">
      <c r="E120" s="18"/>
    </row>
    <row r="121">
      <c r="E121" s="18"/>
    </row>
    <row r="122">
      <c r="E122" s="18"/>
    </row>
    <row r="123">
      <c r="E123" s="18"/>
    </row>
    <row r="124">
      <c r="E124" s="18"/>
    </row>
    <row r="125">
      <c r="E125" s="18"/>
    </row>
    <row r="126">
      <c r="E126" s="18"/>
    </row>
    <row r="127">
      <c r="E127" s="18"/>
    </row>
    <row r="128">
      <c r="E128" s="18"/>
    </row>
    <row r="129">
      <c r="E129" s="18"/>
    </row>
    <row r="130">
      <c r="E130" s="18"/>
    </row>
    <row r="131">
      <c r="E131" s="18"/>
    </row>
    <row r="132">
      <c r="E132" s="18"/>
    </row>
    <row r="133">
      <c r="E133" s="18"/>
    </row>
    <row r="134">
      <c r="E134" s="18"/>
    </row>
    <row r="135">
      <c r="E135" s="18"/>
    </row>
    <row r="136">
      <c r="E136" s="18"/>
    </row>
    <row r="137">
      <c r="E137" s="18"/>
    </row>
    <row r="138">
      <c r="E138" s="18"/>
    </row>
    <row r="139">
      <c r="E139" s="18"/>
    </row>
    <row r="140">
      <c r="E140" s="18"/>
    </row>
    <row r="141">
      <c r="E141" s="18"/>
    </row>
    <row r="142">
      <c r="E142" s="18"/>
    </row>
    <row r="143">
      <c r="E143" s="18"/>
    </row>
    <row r="144">
      <c r="E144" s="18"/>
    </row>
    <row r="145">
      <c r="E145" s="18"/>
    </row>
    <row r="146">
      <c r="E146" s="18"/>
    </row>
    <row r="147">
      <c r="E147" s="18"/>
    </row>
    <row r="148">
      <c r="E148" s="18"/>
    </row>
    <row r="149">
      <c r="E149" s="18"/>
    </row>
    <row r="150">
      <c r="E150" s="18"/>
    </row>
    <row r="151">
      <c r="E151" s="18"/>
    </row>
    <row r="152">
      <c r="E152" s="18"/>
    </row>
    <row r="153">
      <c r="E153" s="18"/>
    </row>
    <row r="154">
      <c r="E154" s="18"/>
    </row>
    <row r="155">
      <c r="E155" s="18"/>
    </row>
    <row r="156">
      <c r="E156" s="18"/>
    </row>
    <row r="157">
      <c r="E157" s="18"/>
    </row>
    <row r="158">
      <c r="E158" s="18"/>
    </row>
    <row r="159">
      <c r="E159" s="18"/>
    </row>
    <row r="160">
      <c r="E160" s="18"/>
    </row>
    <row r="161">
      <c r="E161" s="18"/>
    </row>
    <row r="162">
      <c r="E162" s="18"/>
    </row>
    <row r="163">
      <c r="E163" s="18"/>
    </row>
    <row r="164">
      <c r="E164" s="18"/>
    </row>
    <row r="165">
      <c r="E165" s="18"/>
    </row>
    <row r="166">
      <c r="E166" s="18"/>
    </row>
    <row r="167">
      <c r="E167" s="18"/>
    </row>
    <row r="168">
      <c r="E168" s="18"/>
    </row>
    <row r="169">
      <c r="E169" s="18"/>
    </row>
    <row r="170">
      <c r="E170" s="18"/>
    </row>
    <row r="171">
      <c r="E171" s="18"/>
    </row>
    <row r="172">
      <c r="E172" s="18"/>
    </row>
    <row r="173">
      <c r="E173" s="18"/>
    </row>
    <row r="174">
      <c r="E174" s="18"/>
    </row>
    <row r="175">
      <c r="E175" s="18"/>
    </row>
    <row r="176">
      <c r="E176" s="18"/>
    </row>
    <row r="177">
      <c r="E177" s="18"/>
    </row>
    <row r="178">
      <c r="E178" s="18"/>
    </row>
    <row r="179">
      <c r="E179" s="18"/>
    </row>
    <row r="180">
      <c r="E180" s="18"/>
    </row>
    <row r="181">
      <c r="E181" s="18"/>
    </row>
    <row r="182">
      <c r="E182" s="18"/>
    </row>
    <row r="183">
      <c r="E183" s="18"/>
    </row>
    <row r="184">
      <c r="E184" s="18"/>
    </row>
    <row r="185">
      <c r="E185" s="18"/>
    </row>
    <row r="186">
      <c r="E186" s="18"/>
    </row>
    <row r="187">
      <c r="E187" s="18"/>
    </row>
    <row r="188">
      <c r="E188" s="18"/>
    </row>
    <row r="189">
      <c r="E189" s="18"/>
    </row>
    <row r="190">
      <c r="E190" s="18"/>
    </row>
    <row r="191">
      <c r="E191" s="18"/>
    </row>
    <row r="192">
      <c r="E192" s="18"/>
    </row>
    <row r="193">
      <c r="E193" s="18"/>
    </row>
    <row r="194">
      <c r="E194" s="18"/>
    </row>
    <row r="195">
      <c r="E195" s="18"/>
    </row>
    <row r="196">
      <c r="E196" s="18"/>
    </row>
    <row r="197">
      <c r="E197" s="18"/>
    </row>
    <row r="198">
      <c r="E198" s="18"/>
    </row>
    <row r="199">
      <c r="E199" s="18"/>
    </row>
    <row r="200">
      <c r="E200" s="18"/>
    </row>
    <row r="201">
      <c r="E201" s="18"/>
    </row>
    <row r="202">
      <c r="E202" s="18"/>
    </row>
    <row r="203">
      <c r="E203" s="18"/>
    </row>
    <row r="204">
      <c r="E204" s="18"/>
    </row>
    <row r="205">
      <c r="E205" s="18"/>
    </row>
    <row r="206">
      <c r="E206" s="18"/>
    </row>
    <row r="207">
      <c r="E207" s="18"/>
    </row>
    <row r="208">
      <c r="E208" s="18"/>
    </row>
    <row r="209">
      <c r="E209" s="18"/>
    </row>
    <row r="210">
      <c r="E210" s="18"/>
    </row>
    <row r="211">
      <c r="E211" s="18"/>
    </row>
    <row r="212">
      <c r="E212" s="18"/>
    </row>
    <row r="213">
      <c r="E213" s="18"/>
    </row>
    <row r="214">
      <c r="E214" s="18"/>
    </row>
    <row r="215">
      <c r="E215" s="18"/>
    </row>
    <row r="216">
      <c r="E216" s="18"/>
    </row>
    <row r="217">
      <c r="E217" s="18"/>
    </row>
    <row r="218">
      <c r="E218" s="18"/>
    </row>
    <row r="219">
      <c r="E219" s="18"/>
    </row>
    <row r="220">
      <c r="E220" s="18"/>
    </row>
    <row r="221">
      <c r="E221" s="18"/>
    </row>
    <row r="222">
      <c r="E222" s="18"/>
    </row>
    <row r="223">
      <c r="E223" s="18"/>
    </row>
    <row r="224">
      <c r="E224" s="18"/>
    </row>
    <row r="225">
      <c r="E225" s="18"/>
    </row>
    <row r="226">
      <c r="E226" s="18"/>
    </row>
    <row r="227">
      <c r="E227" s="18"/>
    </row>
    <row r="228">
      <c r="E228" s="18"/>
    </row>
    <row r="229">
      <c r="E229" s="18"/>
    </row>
    <row r="230">
      <c r="E230" s="18"/>
    </row>
    <row r="231">
      <c r="E231" s="18"/>
    </row>
    <row r="232">
      <c r="E232" s="18"/>
    </row>
    <row r="233">
      <c r="E233" s="18"/>
    </row>
    <row r="234">
      <c r="E234" s="18"/>
    </row>
    <row r="235">
      <c r="E235" s="18"/>
    </row>
    <row r="236">
      <c r="E236" s="18"/>
    </row>
    <row r="237">
      <c r="E237" s="18"/>
    </row>
    <row r="238">
      <c r="E238" s="18"/>
    </row>
    <row r="239">
      <c r="E239" s="18"/>
    </row>
    <row r="240">
      <c r="E240" s="18"/>
    </row>
    <row r="241">
      <c r="E241" s="18"/>
    </row>
    <row r="242">
      <c r="E242" s="18"/>
    </row>
    <row r="243">
      <c r="E243" s="18"/>
    </row>
    <row r="244">
      <c r="E244" s="18"/>
    </row>
    <row r="245">
      <c r="E245" s="18"/>
    </row>
    <row r="246">
      <c r="E246" s="18"/>
    </row>
    <row r="247">
      <c r="E247" s="18"/>
    </row>
    <row r="248">
      <c r="E248" s="18"/>
    </row>
    <row r="249">
      <c r="E249" s="18"/>
    </row>
    <row r="250">
      <c r="E250" s="18"/>
    </row>
    <row r="251">
      <c r="E251" s="18"/>
    </row>
    <row r="252">
      <c r="E252" s="18"/>
    </row>
    <row r="253">
      <c r="E253" s="18"/>
    </row>
    <row r="254">
      <c r="E254" s="18"/>
    </row>
    <row r="255">
      <c r="E255" s="18"/>
    </row>
    <row r="256">
      <c r="E256" s="18"/>
    </row>
    <row r="257">
      <c r="E257" s="18"/>
    </row>
    <row r="258">
      <c r="E258" s="18"/>
    </row>
    <row r="259">
      <c r="E259" s="18"/>
    </row>
    <row r="260">
      <c r="E260" s="18"/>
    </row>
    <row r="261">
      <c r="E261" s="18"/>
    </row>
    <row r="262">
      <c r="E262" s="18"/>
    </row>
    <row r="263">
      <c r="E263" s="18"/>
    </row>
    <row r="264">
      <c r="E264" s="18"/>
    </row>
    <row r="265">
      <c r="E265" s="18"/>
    </row>
    <row r="266">
      <c r="E266" s="18"/>
    </row>
    <row r="267">
      <c r="E267" s="18"/>
    </row>
    <row r="268">
      <c r="E268" s="18"/>
    </row>
    <row r="269">
      <c r="E269" s="18"/>
    </row>
    <row r="270">
      <c r="E270" s="18"/>
    </row>
    <row r="271">
      <c r="E271" s="18"/>
    </row>
    <row r="272">
      <c r="E272" s="18"/>
    </row>
    <row r="273">
      <c r="E273" s="18"/>
    </row>
    <row r="274">
      <c r="E274" s="18"/>
    </row>
    <row r="275">
      <c r="E275" s="18"/>
    </row>
    <row r="276">
      <c r="E276" s="18"/>
    </row>
    <row r="277">
      <c r="E277" s="18"/>
    </row>
    <row r="278">
      <c r="E278" s="18"/>
    </row>
    <row r="279">
      <c r="E279" s="18"/>
    </row>
    <row r="280">
      <c r="E280" s="18"/>
    </row>
    <row r="281">
      <c r="E281" s="18"/>
    </row>
    <row r="282">
      <c r="E282" s="18"/>
    </row>
    <row r="283">
      <c r="E283" s="18"/>
    </row>
    <row r="284">
      <c r="E284" s="18"/>
    </row>
    <row r="285">
      <c r="E285" s="18"/>
    </row>
    <row r="286">
      <c r="E286" s="18"/>
    </row>
    <row r="287">
      <c r="E287" s="18"/>
    </row>
    <row r="288">
      <c r="E288" s="18"/>
    </row>
    <row r="289">
      <c r="E289" s="18"/>
    </row>
    <row r="290">
      <c r="E290" s="18"/>
    </row>
    <row r="291">
      <c r="E291" s="18"/>
    </row>
    <row r="292">
      <c r="E292" s="18"/>
    </row>
    <row r="293">
      <c r="E293" s="18"/>
    </row>
    <row r="294">
      <c r="E294" s="18"/>
    </row>
    <row r="295">
      <c r="E295" s="18"/>
    </row>
    <row r="296">
      <c r="E296" s="18"/>
    </row>
    <row r="297">
      <c r="E297" s="18"/>
    </row>
    <row r="298">
      <c r="E298" s="18"/>
    </row>
    <row r="299">
      <c r="E299" s="18"/>
    </row>
    <row r="300">
      <c r="E300" s="18"/>
    </row>
    <row r="301">
      <c r="E301" s="18"/>
    </row>
    <row r="302">
      <c r="E302" s="18"/>
    </row>
    <row r="303">
      <c r="E303" s="18"/>
    </row>
    <row r="304">
      <c r="E304" s="18"/>
    </row>
    <row r="305">
      <c r="E305" s="18"/>
    </row>
    <row r="306">
      <c r="E306" s="18"/>
    </row>
    <row r="307">
      <c r="E307" s="18"/>
    </row>
    <row r="308">
      <c r="E308" s="18"/>
    </row>
    <row r="309">
      <c r="E309" s="18"/>
    </row>
    <row r="310">
      <c r="E310" s="18"/>
    </row>
    <row r="311">
      <c r="E311" s="18"/>
    </row>
    <row r="312">
      <c r="E312" s="18"/>
    </row>
    <row r="313">
      <c r="E313" s="18"/>
    </row>
    <row r="314">
      <c r="E314" s="18"/>
    </row>
    <row r="315">
      <c r="E315" s="18"/>
    </row>
    <row r="316">
      <c r="E316" s="18"/>
    </row>
    <row r="317">
      <c r="E317" s="18"/>
    </row>
    <row r="318">
      <c r="E318" s="18"/>
    </row>
    <row r="319">
      <c r="E319" s="18"/>
    </row>
    <row r="320">
      <c r="E320" s="18"/>
    </row>
    <row r="321">
      <c r="E321" s="18"/>
    </row>
    <row r="322">
      <c r="E322" s="18"/>
    </row>
    <row r="323">
      <c r="E323" s="18"/>
    </row>
    <row r="324">
      <c r="E324" s="18"/>
    </row>
    <row r="325">
      <c r="E325" s="18"/>
    </row>
    <row r="326">
      <c r="E326" s="18"/>
    </row>
    <row r="327">
      <c r="E327" s="18"/>
    </row>
    <row r="328">
      <c r="E328" s="18"/>
    </row>
    <row r="329">
      <c r="E329" s="18"/>
    </row>
    <row r="330">
      <c r="E330" s="18"/>
    </row>
    <row r="331">
      <c r="E331" s="18"/>
    </row>
    <row r="332">
      <c r="E332" s="18"/>
    </row>
    <row r="333">
      <c r="E333" s="18"/>
    </row>
    <row r="334">
      <c r="E334" s="18"/>
    </row>
    <row r="335">
      <c r="E335" s="18"/>
    </row>
    <row r="336">
      <c r="E336" s="18"/>
    </row>
    <row r="337">
      <c r="E337" s="18"/>
    </row>
    <row r="338">
      <c r="E338" s="18"/>
    </row>
    <row r="339">
      <c r="E339" s="18"/>
    </row>
    <row r="340">
      <c r="E340" s="18"/>
    </row>
    <row r="341">
      <c r="E341" s="18"/>
    </row>
    <row r="342">
      <c r="E342" s="18"/>
    </row>
    <row r="343">
      <c r="E343" s="18"/>
    </row>
    <row r="344">
      <c r="E344" s="18"/>
    </row>
    <row r="345">
      <c r="E345" s="18"/>
    </row>
    <row r="346">
      <c r="E346" s="18"/>
    </row>
    <row r="347">
      <c r="E347" s="18"/>
    </row>
    <row r="348">
      <c r="E348" s="18"/>
    </row>
    <row r="349">
      <c r="E349" s="18"/>
    </row>
    <row r="350">
      <c r="E350" s="18"/>
    </row>
    <row r="351">
      <c r="E351" s="18"/>
    </row>
    <row r="352">
      <c r="E352" s="18"/>
    </row>
    <row r="353">
      <c r="E353" s="18"/>
    </row>
    <row r="354">
      <c r="E354" s="18"/>
    </row>
    <row r="355">
      <c r="E355" s="18"/>
    </row>
    <row r="356">
      <c r="E356" s="18"/>
    </row>
    <row r="357">
      <c r="E357" s="18"/>
    </row>
    <row r="358">
      <c r="E358" s="18"/>
    </row>
    <row r="359">
      <c r="E359" s="18"/>
    </row>
    <row r="360">
      <c r="E360" s="18"/>
    </row>
    <row r="361">
      <c r="E361" s="18"/>
    </row>
    <row r="362">
      <c r="E362" s="18"/>
    </row>
    <row r="363">
      <c r="E363" s="18"/>
    </row>
    <row r="364">
      <c r="E364" s="18"/>
    </row>
    <row r="365">
      <c r="E365" s="18"/>
    </row>
    <row r="366">
      <c r="E366" s="18"/>
    </row>
    <row r="367">
      <c r="E367" s="18"/>
    </row>
    <row r="368">
      <c r="E368" s="18"/>
    </row>
    <row r="369">
      <c r="E369" s="18"/>
    </row>
    <row r="370">
      <c r="E370" s="18"/>
    </row>
    <row r="371">
      <c r="E371" s="18"/>
    </row>
    <row r="372">
      <c r="E372" s="18"/>
    </row>
    <row r="373">
      <c r="E373" s="18"/>
    </row>
    <row r="374">
      <c r="E374" s="18"/>
    </row>
    <row r="375">
      <c r="E375" s="18"/>
    </row>
    <row r="376">
      <c r="E376" s="18"/>
    </row>
    <row r="377">
      <c r="E377" s="18"/>
    </row>
    <row r="378">
      <c r="E378" s="18"/>
    </row>
    <row r="379">
      <c r="E379" s="18"/>
    </row>
    <row r="380">
      <c r="E380" s="18"/>
    </row>
    <row r="381">
      <c r="E381" s="18"/>
    </row>
    <row r="382">
      <c r="E382" s="18"/>
    </row>
    <row r="383">
      <c r="E383" s="18"/>
    </row>
    <row r="384">
      <c r="E384" s="18"/>
    </row>
    <row r="385">
      <c r="E385" s="18"/>
    </row>
    <row r="386">
      <c r="E386" s="18"/>
    </row>
    <row r="387">
      <c r="E387" s="18"/>
    </row>
    <row r="388">
      <c r="E388" s="18"/>
    </row>
    <row r="389">
      <c r="E389" s="18"/>
    </row>
    <row r="390">
      <c r="E390" s="18"/>
    </row>
    <row r="391">
      <c r="E391" s="18"/>
    </row>
    <row r="392">
      <c r="E392" s="18"/>
    </row>
    <row r="393">
      <c r="E393" s="18"/>
    </row>
    <row r="394">
      <c r="E394" s="18"/>
    </row>
    <row r="395">
      <c r="E395" s="18"/>
    </row>
    <row r="396">
      <c r="E396" s="18"/>
    </row>
    <row r="397">
      <c r="E397" s="18"/>
    </row>
    <row r="398">
      <c r="E398" s="18"/>
    </row>
    <row r="399">
      <c r="E399" s="18"/>
    </row>
    <row r="400">
      <c r="E400" s="18"/>
    </row>
    <row r="401">
      <c r="E401" s="18"/>
    </row>
    <row r="402">
      <c r="E402" s="18"/>
    </row>
    <row r="403">
      <c r="E403" s="18"/>
    </row>
    <row r="404">
      <c r="E404" s="18"/>
    </row>
    <row r="405">
      <c r="E405" s="18"/>
    </row>
    <row r="406">
      <c r="E406" s="18"/>
    </row>
    <row r="407">
      <c r="E407" s="18"/>
    </row>
    <row r="408">
      <c r="E408" s="18"/>
    </row>
    <row r="409">
      <c r="E409" s="18"/>
    </row>
    <row r="410">
      <c r="E410" s="18"/>
    </row>
    <row r="411">
      <c r="E411" s="18"/>
    </row>
    <row r="412">
      <c r="E412" s="18"/>
    </row>
    <row r="413">
      <c r="E413" s="18"/>
    </row>
    <row r="414">
      <c r="E414" s="18"/>
    </row>
    <row r="415">
      <c r="E415" s="18"/>
    </row>
    <row r="416">
      <c r="E416" s="18"/>
    </row>
    <row r="417">
      <c r="E417" s="18"/>
    </row>
    <row r="418">
      <c r="E418" s="18"/>
    </row>
    <row r="419">
      <c r="E419" s="18"/>
    </row>
    <row r="420">
      <c r="E420" s="18"/>
    </row>
    <row r="421">
      <c r="E421" s="18"/>
    </row>
    <row r="422">
      <c r="E422" s="18"/>
    </row>
    <row r="423">
      <c r="E423" s="18"/>
    </row>
    <row r="424">
      <c r="E424" s="18"/>
    </row>
    <row r="425">
      <c r="E425" s="18"/>
    </row>
    <row r="426">
      <c r="E426" s="18"/>
    </row>
    <row r="427">
      <c r="E427" s="18"/>
    </row>
    <row r="428">
      <c r="E428" s="18"/>
    </row>
    <row r="429">
      <c r="E429" s="18"/>
    </row>
    <row r="430">
      <c r="E430" s="18"/>
    </row>
    <row r="431">
      <c r="E431" s="18"/>
    </row>
    <row r="432">
      <c r="E432" s="18"/>
    </row>
    <row r="433">
      <c r="E433" s="18"/>
    </row>
    <row r="434">
      <c r="E434" s="18"/>
    </row>
    <row r="435">
      <c r="E435" s="18"/>
    </row>
    <row r="436">
      <c r="E436" s="18"/>
    </row>
    <row r="437">
      <c r="E437" s="18"/>
    </row>
    <row r="438">
      <c r="E438" s="18"/>
    </row>
    <row r="439">
      <c r="E439" s="18"/>
    </row>
    <row r="440">
      <c r="E440" s="18"/>
    </row>
    <row r="441">
      <c r="E441" s="18"/>
    </row>
    <row r="442">
      <c r="E442" s="18"/>
    </row>
    <row r="443">
      <c r="E443" s="18"/>
    </row>
    <row r="444">
      <c r="E444" s="18"/>
    </row>
    <row r="445">
      <c r="E445" s="18"/>
    </row>
    <row r="446">
      <c r="E446" s="18"/>
    </row>
    <row r="447">
      <c r="E447" s="18"/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26" t="s">
        <v>59</v>
      </c>
      <c r="B1" s="26" t="s">
        <v>60</v>
      </c>
      <c r="C1" s="26" t="s">
        <v>61</v>
      </c>
      <c r="D1" s="26" t="s">
        <v>62</v>
      </c>
      <c r="E1" s="26" t="s">
        <v>63</v>
      </c>
    </row>
    <row r="2">
      <c r="A2" s="3" t="s">
        <v>64</v>
      </c>
      <c r="B2" s="3">
        <v>55.0</v>
      </c>
      <c r="C2" s="3">
        <v>0.46</v>
      </c>
      <c r="D2" s="3">
        <v>0.61</v>
      </c>
      <c r="E2" s="3">
        <v>0.79</v>
      </c>
      <c r="F2" s="5">
        <f t="shared" ref="F2:F8" si="1">ROUND(E2,0)</f>
        <v>1</v>
      </c>
    </row>
    <row r="3">
      <c r="A3" s="3" t="s">
        <v>65</v>
      </c>
      <c r="B3" s="3">
        <v>175.0</v>
      </c>
      <c r="C3" s="3">
        <v>1.46</v>
      </c>
      <c r="D3" s="3">
        <v>1.94</v>
      </c>
      <c r="E3" s="3">
        <v>2.5</v>
      </c>
      <c r="F3" s="5">
        <f t="shared" si="1"/>
        <v>3</v>
      </c>
    </row>
    <row r="4">
      <c r="A4" s="3" t="s">
        <v>66</v>
      </c>
      <c r="B4" s="3">
        <v>285.0</v>
      </c>
      <c r="C4" s="3">
        <v>2.38</v>
      </c>
      <c r="D4" s="3">
        <v>3.17</v>
      </c>
      <c r="E4" s="3">
        <v>4.07</v>
      </c>
      <c r="F4" s="5">
        <f t="shared" si="1"/>
        <v>4</v>
      </c>
    </row>
    <row r="5">
      <c r="A5" s="3" t="s">
        <v>67</v>
      </c>
      <c r="B5" s="3">
        <v>95.0</v>
      </c>
      <c r="C5" s="3">
        <v>0.79</v>
      </c>
      <c r="D5" s="3">
        <v>1.06</v>
      </c>
      <c r="E5" s="3">
        <v>1.36</v>
      </c>
      <c r="F5" s="5">
        <f t="shared" si="1"/>
        <v>1</v>
      </c>
    </row>
    <row r="6">
      <c r="A6" s="3" t="s">
        <v>68</v>
      </c>
      <c r="B6" s="3">
        <v>155.0</v>
      </c>
      <c r="C6" s="3">
        <v>1.29</v>
      </c>
      <c r="D6" s="3">
        <v>1.72</v>
      </c>
      <c r="E6" s="3">
        <v>2.21</v>
      </c>
      <c r="F6" s="5">
        <f t="shared" si="1"/>
        <v>2</v>
      </c>
    </row>
    <row r="7">
      <c r="A7" s="3" t="s">
        <v>69</v>
      </c>
      <c r="B7" s="3">
        <v>110.0</v>
      </c>
      <c r="C7" s="3">
        <v>0.92</v>
      </c>
      <c r="D7" s="3">
        <v>1.22</v>
      </c>
      <c r="E7" s="3">
        <v>1.57</v>
      </c>
      <c r="F7" s="5">
        <f t="shared" si="1"/>
        <v>2</v>
      </c>
    </row>
    <row r="8">
      <c r="A8" s="3" t="s">
        <v>70</v>
      </c>
      <c r="B8" s="3">
        <v>120.0</v>
      </c>
      <c r="C8" s="3">
        <v>1.0</v>
      </c>
      <c r="D8" s="3">
        <v>1.33</v>
      </c>
      <c r="E8" s="3">
        <v>1.71</v>
      </c>
      <c r="F8" s="5">
        <f t="shared" si="1"/>
        <v>2</v>
      </c>
    </row>
  </sheetData>
  <drawing r:id="rId1"/>
</worksheet>
</file>