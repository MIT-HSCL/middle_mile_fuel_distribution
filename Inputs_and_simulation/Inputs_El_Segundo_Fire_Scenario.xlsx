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" sheetId="1" r:id="rId5"/>
    <sheet state="visible" name="supply_disruption_scenario" sheetId="2" r:id="rId6"/>
    <sheet state="visible" name="pipeline_segments" sheetId="3" r:id="rId7"/>
    <sheet state="visible" name="pipeline_disruption_scenario" sheetId="4" r:id="rId8"/>
    <sheet state="visible" name="terminals" sheetId="5" r:id="rId9"/>
    <sheet state="hidden" name="pipeline_leadtime_estimation" sheetId="6" r:id="rId10"/>
  </sheets>
  <definedNames/>
  <calcPr/>
</workbook>
</file>

<file path=xl/sharedStrings.xml><?xml version="1.0" encoding="utf-8"?>
<sst xmlns="http://schemas.openxmlformats.org/spreadsheetml/2006/main" count="81" uniqueCount="49">
  <si>
    <t>supply_type</t>
  </si>
  <si>
    <t>name</t>
  </si>
  <si>
    <t>capacity_bbl_day</t>
  </si>
  <si>
    <t>refinery</t>
  </si>
  <si>
    <t>El Segundo</t>
  </si>
  <si>
    <t>Wilmington</t>
  </si>
  <si>
    <t>Carson</t>
  </si>
  <si>
    <t>Torrance</t>
  </si>
  <si>
    <t>port</t>
  </si>
  <si>
    <t>Los Angeles</t>
  </si>
  <si>
    <t>Long Beach</t>
  </si>
  <si>
    <t>day</t>
  </si>
  <si>
    <t>percentage_of_capacity</t>
  </si>
  <si>
    <t>pipeline_segment</t>
  </si>
  <si>
    <t>upstream_connection</t>
  </si>
  <si>
    <t>leadtime</t>
  </si>
  <si>
    <t>LA_Interior</t>
  </si>
  <si>
    <t>LA_Colton</t>
  </si>
  <si>
    <t>Colton_Imperial</t>
  </si>
  <si>
    <t>Imperial_Phoenix</t>
  </si>
  <si>
    <t>Colton_Barstow</t>
  </si>
  <si>
    <t>Barstow_Vegas</t>
  </si>
  <si>
    <t>LA_Bakersfield</t>
  </si>
  <si>
    <t>LA_SanDiego</t>
  </si>
  <si>
    <t>terminal_group</t>
  </si>
  <si>
    <t>pipeline</t>
  </si>
  <si>
    <t>initial_inventory_days</t>
  </si>
  <si>
    <t>target_inventory_on_hand</t>
  </si>
  <si>
    <t>default_demand_bbl_day</t>
  </si>
  <si>
    <t>Imperial</t>
  </si>
  <si>
    <t>San Diego</t>
  </si>
  <si>
    <t>Phoenix</t>
  </si>
  <si>
    <t>Orange</t>
  </si>
  <si>
    <t>Colton</t>
  </si>
  <si>
    <t>Bakersfield</t>
  </si>
  <si>
    <t>Barstow</t>
  </si>
  <si>
    <t>Las Vegas</t>
  </si>
  <si>
    <t>Segment</t>
  </si>
  <si>
    <t>Miles (approx)</t>
  </si>
  <si>
    <t>Fast (120)</t>
  </si>
  <si>
    <t>Typical (90)</t>
  </si>
  <si>
    <t>Slow (70)</t>
  </si>
  <si>
    <t>Los Angeles → Colton</t>
  </si>
  <si>
    <t>Colton → Imperial (Imperial Valley)</t>
  </si>
  <si>
    <t>Imperial → Phoenix</t>
  </si>
  <si>
    <t>Colton → Barstow</t>
  </si>
  <si>
    <t>Barstow → Las Vegas</t>
  </si>
  <si>
    <t>Los Angeles → Bakersfield</t>
  </si>
  <si>
    <t>Los Angeles → San 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</si>
</sst>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1" fillId="2" fontId="4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Font="1"/>
    <xf borderId="0" fillId="0" fontId="9" numFmtId="0" xfId="0" applyAlignment="1" applyFont="1">
      <alignment horizontal="right" readingOrder="0" shrinkToFit="0" vertical="bottom" wrapText="0"/>
    </xf>
    <xf borderId="0" fillId="0" fontId="9" numFmtId="3" xfId="0" applyAlignment="1" applyFont="1" applyNumberFormat="1">
      <alignment horizontal="right" readingOrder="0" shrinkToFit="0" vertical="bottom" wrapText="0"/>
    </xf>
    <xf borderId="0" fillId="3" fontId="8" numFmtId="0" xfId="0" applyAlignment="1" applyFill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/>
    </xf>
    <xf borderId="0" fillId="3" fontId="9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9" max="9" width="27.13"/>
    <col customWidth="1" min="10" max="10" width="2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228000.0</v>
      </c>
    </row>
    <row r="3">
      <c r="A3" s="2" t="s">
        <v>3</v>
      </c>
      <c r="B3" s="5" t="s">
        <v>5</v>
      </c>
      <c r="C3" s="4">
        <v>110960.0</v>
      </c>
      <c r="K3" s="6"/>
      <c r="L3" s="6"/>
      <c r="M3" s="6"/>
    </row>
    <row r="4">
      <c r="A4" s="2" t="s">
        <v>3</v>
      </c>
      <c r="B4" s="3" t="s">
        <v>6</v>
      </c>
      <c r="C4" s="4">
        <v>292000.0</v>
      </c>
      <c r="K4" s="7"/>
      <c r="L4" s="7"/>
      <c r="M4" s="7"/>
      <c r="N4" s="7"/>
    </row>
    <row r="5">
      <c r="A5" s="2" t="s">
        <v>3</v>
      </c>
      <c r="B5" s="5" t="s">
        <v>7</v>
      </c>
      <c r="C5" s="4">
        <v>128000.0</v>
      </c>
      <c r="K5" s="8"/>
      <c r="L5" s="8"/>
      <c r="M5" s="8"/>
      <c r="N5" s="8"/>
    </row>
    <row r="6">
      <c r="A6" s="2" t="s">
        <v>3</v>
      </c>
      <c r="B6" s="3" t="s">
        <v>5</v>
      </c>
      <c r="C6" s="4">
        <v>68000.0</v>
      </c>
      <c r="K6" s="7"/>
      <c r="L6" s="7"/>
      <c r="M6" s="7"/>
      <c r="N6" s="7"/>
    </row>
    <row r="7">
      <c r="A7" s="2" t="s">
        <v>3</v>
      </c>
      <c r="B7" s="5" t="s">
        <v>5</v>
      </c>
      <c r="C7" s="4">
        <v>3150.0</v>
      </c>
      <c r="K7" s="8"/>
      <c r="L7" s="8"/>
      <c r="M7" s="8"/>
      <c r="N7" s="8"/>
    </row>
    <row r="8">
      <c r="A8" s="2" t="s">
        <v>8</v>
      </c>
      <c r="B8" s="9" t="s">
        <v>9</v>
      </c>
      <c r="C8" s="2">
        <v>28236.0</v>
      </c>
      <c r="H8" s="10"/>
      <c r="I8" s="7"/>
      <c r="J8" s="7"/>
      <c r="K8" s="7"/>
      <c r="L8" s="7"/>
      <c r="M8" s="7"/>
      <c r="N8" s="7"/>
    </row>
    <row r="9">
      <c r="A9" s="2" t="s">
        <v>8</v>
      </c>
      <c r="B9" s="9" t="s">
        <v>10</v>
      </c>
      <c r="C9" s="2">
        <v>9721.0</v>
      </c>
      <c r="H9" s="11"/>
      <c r="I9" s="8"/>
      <c r="J9" s="8"/>
      <c r="K9" s="8"/>
      <c r="L9" s="8"/>
      <c r="M9" s="8"/>
      <c r="N9" s="8"/>
    </row>
    <row r="10">
      <c r="B10" s="12"/>
    </row>
    <row r="13">
      <c r="J13" s="7"/>
    </row>
    <row r="14">
      <c r="J14" s="8"/>
    </row>
    <row r="15">
      <c r="J15" s="7"/>
    </row>
    <row r="16">
      <c r="J16" s="8"/>
    </row>
    <row r="17">
      <c r="J17" s="7"/>
    </row>
    <row r="18">
      <c r="J1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0</v>
      </c>
      <c r="B1" s="1" t="s">
        <v>11</v>
      </c>
      <c r="C1" s="1" t="s">
        <v>12</v>
      </c>
    </row>
    <row r="2">
      <c r="A2" s="2" t="s">
        <v>3</v>
      </c>
      <c r="B2" s="2">
        <v>1.0</v>
      </c>
      <c r="C2" s="13">
        <v>0.73</v>
      </c>
    </row>
    <row r="3">
      <c r="A3" s="2" t="s">
        <v>3</v>
      </c>
      <c r="B3" s="2">
        <f t="shared" ref="B3:B10" si="1">B2+1</f>
        <v>2</v>
      </c>
      <c r="C3" s="14">
        <f t="shared" ref="C3:C5" si="2">C2</f>
        <v>0.73</v>
      </c>
    </row>
    <row r="4">
      <c r="A4" s="2" t="s">
        <v>3</v>
      </c>
      <c r="B4" s="2">
        <f t="shared" si="1"/>
        <v>3</v>
      </c>
      <c r="C4" s="14">
        <f t="shared" si="2"/>
        <v>0.73</v>
      </c>
    </row>
    <row r="5">
      <c r="A5" s="2" t="s">
        <v>3</v>
      </c>
      <c r="B5" s="2">
        <f t="shared" si="1"/>
        <v>4</v>
      </c>
      <c r="C5" s="14">
        <f t="shared" si="2"/>
        <v>0.73</v>
      </c>
    </row>
    <row r="6">
      <c r="A6" s="2" t="s">
        <v>3</v>
      </c>
      <c r="B6" s="2">
        <f t="shared" si="1"/>
        <v>5</v>
      </c>
      <c r="C6" s="15">
        <v>0.78</v>
      </c>
    </row>
    <row r="7">
      <c r="A7" s="2" t="s">
        <v>3</v>
      </c>
      <c r="B7" s="2">
        <f t="shared" si="1"/>
        <v>6</v>
      </c>
      <c r="C7" s="2">
        <v>0.83</v>
      </c>
    </row>
    <row r="8">
      <c r="A8" s="2" t="s">
        <v>3</v>
      </c>
      <c r="B8" s="2">
        <f t="shared" si="1"/>
        <v>7</v>
      </c>
      <c r="C8" s="2">
        <v>0.89</v>
      </c>
    </row>
    <row r="9">
      <c r="A9" s="2" t="s">
        <v>3</v>
      </c>
      <c r="B9" s="2">
        <f t="shared" si="1"/>
        <v>8</v>
      </c>
      <c r="C9" s="2">
        <v>0.94</v>
      </c>
    </row>
    <row r="10">
      <c r="A10" s="2" t="s">
        <v>3</v>
      </c>
      <c r="B10" s="2">
        <f t="shared" si="1"/>
        <v>9</v>
      </c>
      <c r="C10" s="2">
        <v>0.97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4" width="13.88"/>
  </cols>
  <sheetData>
    <row r="1">
      <c r="A1" s="1" t="s">
        <v>13</v>
      </c>
      <c r="B1" s="1" t="s">
        <v>14</v>
      </c>
      <c r="C1" s="1" t="s">
        <v>15</v>
      </c>
      <c r="D1" s="1" t="s">
        <v>2</v>
      </c>
    </row>
    <row r="2">
      <c r="A2" s="2" t="s">
        <v>16</v>
      </c>
      <c r="C2" s="2">
        <v>1.0</v>
      </c>
      <c r="D2" s="16">
        <f>(terminals!E5+terminals!E6)*1.05</f>
        <v>293296.5</v>
      </c>
      <c r="F2" s="17"/>
      <c r="G2" s="18"/>
    </row>
    <row r="3">
      <c r="A3" s="2" t="s">
        <v>17</v>
      </c>
      <c r="C3" s="2">
        <v>1.0</v>
      </c>
      <c r="D3" s="16">
        <f>(terminals!E7+terminals!E9+terminals!E10+terminals!E2+terminals!E4)*1.05</f>
        <v>329021.175</v>
      </c>
      <c r="F3" s="17"/>
      <c r="G3" s="18"/>
    </row>
    <row r="4">
      <c r="A4" s="2" t="s">
        <v>18</v>
      </c>
      <c r="B4" s="4" t="str">
        <f t="shared" ref="B4:B5" si="1">A3</f>
        <v>LA_Colton</v>
      </c>
      <c r="C4" s="2">
        <v>3.0</v>
      </c>
      <c r="D4" s="16">
        <f>(terminals!E2+terminals!E4)*1.05</f>
        <v>129028.725</v>
      </c>
      <c r="F4" s="17"/>
      <c r="G4" s="18"/>
    </row>
    <row r="5">
      <c r="A5" s="2" t="s">
        <v>19</v>
      </c>
      <c r="B5" s="4" t="str">
        <f t="shared" si="1"/>
        <v>Colton_Imperial</v>
      </c>
      <c r="C5" s="2">
        <v>4.0</v>
      </c>
      <c r="D5" s="16">
        <f>terminals!E4*1.05</f>
        <v>93118.725</v>
      </c>
      <c r="F5" s="17"/>
      <c r="G5" s="18"/>
    </row>
    <row r="6">
      <c r="A6" s="18" t="s">
        <v>20</v>
      </c>
      <c r="B6" s="4" t="str">
        <f>A3</f>
        <v>LA_Colton</v>
      </c>
      <c r="C6" s="2">
        <v>2.0</v>
      </c>
      <c r="D6" s="16">
        <f>(terminals!E9+terminals!E10)*1.05</f>
        <v>95705.4</v>
      </c>
      <c r="F6" s="17"/>
      <c r="G6" s="18"/>
    </row>
    <row r="7">
      <c r="A7" s="18" t="s">
        <v>21</v>
      </c>
      <c r="B7" s="4" t="str">
        <f>A6</f>
        <v>Colton_Barstow</v>
      </c>
      <c r="C7" s="2">
        <v>2.0</v>
      </c>
      <c r="D7" s="16">
        <f>terminals!E10*1.05</f>
        <v>77696.85</v>
      </c>
      <c r="F7" s="17"/>
      <c r="G7" s="18"/>
    </row>
    <row r="8">
      <c r="A8" s="18" t="s">
        <v>22</v>
      </c>
      <c r="C8" s="2">
        <v>2.0</v>
      </c>
      <c r="D8" s="16">
        <f>terminals!E8*1.05</f>
        <v>65807.7</v>
      </c>
      <c r="F8" s="17"/>
      <c r="G8" s="18"/>
    </row>
    <row r="9">
      <c r="A9" s="18" t="s">
        <v>23</v>
      </c>
      <c r="C9" s="2">
        <v>2.0</v>
      </c>
      <c r="D9" s="16">
        <f>terminals!E3*1.05</f>
        <v>68917.8</v>
      </c>
      <c r="F9" s="17"/>
      <c r="G9" s="18"/>
    </row>
    <row r="10">
      <c r="D10" s="19"/>
      <c r="F10" s="17"/>
      <c r="G10" s="18"/>
    </row>
    <row r="11">
      <c r="D11" s="19"/>
    </row>
    <row r="12">
      <c r="D12" s="19"/>
    </row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>
      <c r="D21" s="19"/>
    </row>
    <row r="22">
      <c r="D22" s="19"/>
    </row>
    <row r="23">
      <c r="D23" s="19"/>
    </row>
    <row r="24">
      <c r="D24" s="19"/>
    </row>
    <row r="25">
      <c r="D25" s="19"/>
    </row>
    <row r="26">
      <c r="D26" s="19"/>
    </row>
    <row r="27">
      <c r="D27" s="19"/>
    </row>
    <row r="28">
      <c r="D28" s="19"/>
    </row>
    <row r="29">
      <c r="D29" s="19"/>
    </row>
    <row r="30">
      <c r="D30" s="19"/>
    </row>
    <row r="31"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  <row r="1001">
      <c r="D1001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20.0"/>
  </cols>
  <sheetData>
    <row r="1">
      <c r="A1" s="1" t="s">
        <v>13</v>
      </c>
      <c r="B1" s="1" t="s">
        <v>11</v>
      </c>
      <c r="C1" s="1" t="s">
        <v>12</v>
      </c>
      <c r="D1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21.88"/>
    <col customWidth="1" min="5" max="5" width="21.0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17" t="s">
        <v>29</v>
      </c>
      <c r="B2" s="18" t="s">
        <v>18</v>
      </c>
      <c r="C2" s="2">
        <v>12.0</v>
      </c>
      <c r="D2" s="2">
        <v>12.0</v>
      </c>
      <c r="E2" s="21">
        <v>34200.0</v>
      </c>
      <c r="F2" s="22"/>
    </row>
    <row r="3">
      <c r="A3" s="17" t="s">
        <v>30</v>
      </c>
      <c r="B3" s="18" t="s">
        <v>23</v>
      </c>
      <c r="C3" s="2">
        <v>12.0</v>
      </c>
      <c r="D3" s="2">
        <v>12.0</v>
      </c>
      <c r="E3" s="21">
        <v>65636.0</v>
      </c>
      <c r="F3" s="22"/>
    </row>
    <row r="4">
      <c r="A4" s="23" t="s">
        <v>31</v>
      </c>
      <c r="B4" s="24" t="s">
        <v>19</v>
      </c>
      <c r="C4" s="25">
        <v>12.0</v>
      </c>
      <c r="D4" s="25">
        <v>12.0</v>
      </c>
      <c r="E4" s="26">
        <f>177369/2</f>
        <v>88684.5</v>
      </c>
      <c r="F4" s="22"/>
    </row>
    <row r="5">
      <c r="A5" s="17" t="s">
        <v>9</v>
      </c>
      <c r="B5" s="18" t="s">
        <v>16</v>
      </c>
      <c r="C5" s="2">
        <v>12.0</v>
      </c>
      <c r="D5" s="2">
        <v>12.0</v>
      </c>
      <c r="E5" s="21">
        <v>155957.0</v>
      </c>
      <c r="F5" s="22"/>
    </row>
    <row r="6">
      <c r="A6" s="17" t="s">
        <v>32</v>
      </c>
      <c r="B6" s="18" t="s">
        <v>16</v>
      </c>
      <c r="C6" s="2">
        <v>12.0</v>
      </c>
      <c r="D6" s="2">
        <v>12.0</v>
      </c>
      <c r="E6" s="21">
        <v>123373.0</v>
      </c>
      <c r="F6" s="22"/>
    </row>
    <row r="7">
      <c r="A7" s="17" t="s">
        <v>33</v>
      </c>
      <c r="B7" s="18" t="s">
        <v>17</v>
      </c>
      <c r="C7" s="2">
        <v>12.0</v>
      </c>
      <c r="D7" s="2">
        <v>12.0</v>
      </c>
      <c r="E7" s="21">
        <v>99321.0</v>
      </c>
      <c r="F7" s="22"/>
    </row>
    <row r="8">
      <c r="A8" s="17" t="s">
        <v>34</v>
      </c>
      <c r="B8" s="18" t="s">
        <v>22</v>
      </c>
      <c r="C8" s="2">
        <v>12.0</v>
      </c>
      <c r="D8" s="2">
        <v>12.0</v>
      </c>
      <c r="E8" s="21">
        <v>62674.0</v>
      </c>
      <c r="F8" s="22"/>
    </row>
    <row r="9">
      <c r="A9" s="17" t="s">
        <v>35</v>
      </c>
      <c r="B9" s="18" t="s">
        <v>20</v>
      </c>
      <c r="C9" s="2">
        <v>12.0</v>
      </c>
      <c r="D9" s="2">
        <v>12.0</v>
      </c>
      <c r="E9" s="21">
        <v>17151.0</v>
      </c>
      <c r="F9" s="22"/>
    </row>
    <row r="10">
      <c r="A10" s="17" t="s">
        <v>36</v>
      </c>
      <c r="B10" s="18" t="s">
        <v>21</v>
      </c>
      <c r="C10" s="2">
        <v>12.0</v>
      </c>
      <c r="D10" s="2">
        <v>12.0</v>
      </c>
      <c r="E10" s="21">
        <v>73997.0</v>
      </c>
      <c r="F10" s="22"/>
    </row>
    <row r="11">
      <c r="E11" s="19"/>
    </row>
    <row r="12">
      <c r="E12" s="19"/>
    </row>
    <row r="13">
      <c r="E13" s="19"/>
    </row>
    <row r="14">
      <c r="E14" s="19"/>
    </row>
    <row r="15">
      <c r="E15" s="19"/>
    </row>
    <row r="16">
      <c r="E16" s="19"/>
    </row>
    <row r="17">
      <c r="E17" s="19"/>
    </row>
    <row r="18">
      <c r="E18" s="19"/>
    </row>
    <row r="19">
      <c r="E19" s="19"/>
    </row>
    <row r="20">
      <c r="E20" s="19"/>
    </row>
    <row r="21">
      <c r="E21" s="19"/>
    </row>
    <row r="22">
      <c r="E22" s="19"/>
    </row>
    <row r="23">
      <c r="E23" s="19"/>
    </row>
    <row r="24">
      <c r="E24" s="19"/>
    </row>
    <row r="25">
      <c r="E25" s="19"/>
    </row>
    <row r="26">
      <c r="E26" s="19"/>
    </row>
    <row r="27">
      <c r="E27" s="19"/>
    </row>
    <row r="28">
      <c r="E28" s="19"/>
    </row>
    <row r="29">
      <c r="E29" s="19"/>
    </row>
    <row r="30">
      <c r="E30" s="19"/>
    </row>
    <row r="31">
      <c r="E31" s="19"/>
    </row>
    <row r="32">
      <c r="E32" s="19"/>
    </row>
    <row r="33">
      <c r="E33" s="19"/>
    </row>
    <row r="34">
      <c r="E34" s="19"/>
    </row>
    <row r="35">
      <c r="E35" s="19"/>
    </row>
    <row r="36">
      <c r="E36" s="19"/>
    </row>
    <row r="37">
      <c r="E37" s="19"/>
    </row>
    <row r="38">
      <c r="E38" s="19"/>
    </row>
    <row r="39">
      <c r="E39" s="19"/>
    </row>
    <row r="40">
      <c r="E40" s="19"/>
    </row>
    <row r="41">
      <c r="E41" s="19"/>
    </row>
    <row r="42">
      <c r="E42" s="19"/>
    </row>
    <row r="43">
      <c r="E43" s="19"/>
    </row>
    <row r="44">
      <c r="E44" s="19"/>
    </row>
    <row r="45">
      <c r="E45" s="19"/>
    </row>
    <row r="46">
      <c r="E46" s="19"/>
    </row>
    <row r="47">
      <c r="E47" s="19"/>
    </row>
    <row r="48">
      <c r="E48" s="19"/>
    </row>
    <row r="49">
      <c r="E49" s="19"/>
    </row>
    <row r="50">
      <c r="E50" s="19"/>
    </row>
    <row r="51">
      <c r="E51" s="19"/>
    </row>
    <row r="52">
      <c r="E52" s="19"/>
    </row>
    <row r="53">
      <c r="E53" s="19"/>
    </row>
    <row r="54">
      <c r="E54" s="19"/>
    </row>
    <row r="55">
      <c r="E55" s="19"/>
    </row>
    <row r="56">
      <c r="E56" s="19"/>
    </row>
    <row r="57">
      <c r="E57" s="19"/>
    </row>
    <row r="58">
      <c r="E58" s="19"/>
    </row>
    <row r="59">
      <c r="E59" s="19"/>
    </row>
    <row r="60">
      <c r="E60" s="19"/>
    </row>
    <row r="61">
      <c r="E61" s="19"/>
    </row>
    <row r="62">
      <c r="E62" s="19"/>
    </row>
    <row r="63">
      <c r="E63" s="19"/>
    </row>
    <row r="64">
      <c r="E64" s="19"/>
    </row>
    <row r="65">
      <c r="E65" s="19"/>
    </row>
    <row r="66">
      <c r="E66" s="19"/>
    </row>
    <row r="67">
      <c r="E67" s="19"/>
    </row>
    <row r="68">
      <c r="E68" s="19"/>
    </row>
    <row r="69">
      <c r="E69" s="19"/>
    </row>
    <row r="70">
      <c r="E70" s="19"/>
    </row>
    <row r="71">
      <c r="E71" s="19"/>
    </row>
    <row r="72">
      <c r="E72" s="19"/>
    </row>
    <row r="73">
      <c r="E73" s="19"/>
    </row>
    <row r="74">
      <c r="E74" s="19"/>
    </row>
    <row r="75">
      <c r="E75" s="19"/>
    </row>
    <row r="76">
      <c r="E76" s="19"/>
    </row>
    <row r="77">
      <c r="E77" s="19"/>
    </row>
    <row r="78">
      <c r="E78" s="19"/>
    </row>
    <row r="79">
      <c r="E79" s="19"/>
    </row>
    <row r="80">
      <c r="E80" s="19"/>
    </row>
    <row r="81">
      <c r="E81" s="19"/>
    </row>
    <row r="82">
      <c r="E82" s="19"/>
    </row>
    <row r="83">
      <c r="E83" s="19"/>
    </row>
    <row r="84">
      <c r="E84" s="19"/>
    </row>
    <row r="85">
      <c r="E85" s="19"/>
    </row>
    <row r="86">
      <c r="E86" s="19"/>
    </row>
    <row r="87">
      <c r="E87" s="19"/>
    </row>
    <row r="88">
      <c r="E88" s="19"/>
    </row>
    <row r="89">
      <c r="E89" s="19"/>
    </row>
    <row r="90">
      <c r="E90" s="19"/>
    </row>
    <row r="91">
      <c r="E91" s="19"/>
    </row>
    <row r="92">
      <c r="E92" s="19"/>
    </row>
    <row r="93">
      <c r="E93" s="19"/>
    </row>
    <row r="94">
      <c r="E94" s="19"/>
    </row>
    <row r="95">
      <c r="E95" s="19"/>
    </row>
    <row r="96">
      <c r="E96" s="19"/>
    </row>
    <row r="97">
      <c r="E97" s="19"/>
    </row>
    <row r="98">
      <c r="E98" s="19"/>
    </row>
    <row r="99">
      <c r="E99" s="19"/>
    </row>
    <row r="100">
      <c r="E100" s="19"/>
    </row>
    <row r="101">
      <c r="E101" s="19"/>
    </row>
    <row r="102">
      <c r="E102" s="19"/>
    </row>
    <row r="103">
      <c r="E103" s="19"/>
    </row>
    <row r="104">
      <c r="E104" s="19"/>
    </row>
    <row r="105">
      <c r="E105" s="19"/>
    </row>
    <row r="106">
      <c r="E106" s="19"/>
    </row>
    <row r="107">
      <c r="E107" s="19"/>
    </row>
    <row r="108">
      <c r="E108" s="19"/>
    </row>
    <row r="109">
      <c r="E109" s="19"/>
    </row>
    <row r="110">
      <c r="E110" s="19"/>
    </row>
    <row r="111">
      <c r="E111" s="19"/>
    </row>
    <row r="112">
      <c r="E112" s="19"/>
    </row>
    <row r="113">
      <c r="E113" s="19"/>
    </row>
    <row r="114">
      <c r="E114" s="19"/>
    </row>
    <row r="115">
      <c r="E115" s="19"/>
    </row>
    <row r="116">
      <c r="E116" s="19"/>
    </row>
    <row r="117">
      <c r="E117" s="19"/>
    </row>
    <row r="118">
      <c r="E118" s="19"/>
    </row>
    <row r="119">
      <c r="E119" s="19"/>
    </row>
    <row r="120">
      <c r="E120" s="19"/>
    </row>
    <row r="121">
      <c r="E121" s="19"/>
    </row>
    <row r="122">
      <c r="E122" s="19"/>
    </row>
    <row r="123">
      <c r="E123" s="19"/>
    </row>
    <row r="124">
      <c r="E124" s="19"/>
    </row>
    <row r="125">
      <c r="E125" s="19"/>
    </row>
    <row r="126">
      <c r="E126" s="19"/>
    </row>
    <row r="127">
      <c r="E127" s="19"/>
    </row>
    <row r="128">
      <c r="E128" s="19"/>
    </row>
    <row r="129">
      <c r="E129" s="19"/>
    </row>
    <row r="130">
      <c r="E130" s="19"/>
    </row>
    <row r="131">
      <c r="E131" s="19"/>
    </row>
    <row r="132">
      <c r="E132" s="19"/>
    </row>
    <row r="133">
      <c r="E133" s="19"/>
    </row>
    <row r="134">
      <c r="E134" s="19"/>
    </row>
    <row r="135">
      <c r="E135" s="19"/>
    </row>
    <row r="136">
      <c r="E136" s="19"/>
    </row>
    <row r="137">
      <c r="E137" s="19"/>
    </row>
    <row r="138">
      <c r="E138" s="19"/>
    </row>
    <row r="139">
      <c r="E139" s="19"/>
    </row>
    <row r="140">
      <c r="E140" s="19"/>
    </row>
    <row r="141">
      <c r="E141" s="19"/>
    </row>
    <row r="142">
      <c r="E142" s="19"/>
    </row>
    <row r="143">
      <c r="E143" s="19"/>
    </row>
    <row r="144">
      <c r="E144" s="19"/>
    </row>
    <row r="145">
      <c r="E145" s="19"/>
    </row>
    <row r="146">
      <c r="E146" s="19"/>
    </row>
    <row r="147">
      <c r="E147" s="19"/>
    </row>
    <row r="148">
      <c r="E148" s="19"/>
    </row>
    <row r="149">
      <c r="E149" s="19"/>
    </row>
    <row r="150">
      <c r="E150" s="19"/>
    </row>
    <row r="151">
      <c r="E151" s="19"/>
    </row>
    <row r="152">
      <c r="E152" s="19"/>
    </row>
    <row r="153">
      <c r="E153" s="19"/>
    </row>
    <row r="154">
      <c r="E154" s="19"/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  <row r="178">
      <c r="E178" s="19"/>
    </row>
    <row r="179">
      <c r="E179" s="19"/>
    </row>
    <row r="180">
      <c r="E180" s="19"/>
    </row>
    <row r="181">
      <c r="E181" s="19"/>
    </row>
    <row r="182">
      <c r="E182" s="19"/>
    </row>
    <row r="183">
      <c r="E183" s="19"/>
    </row>
    <row r="184">
      <c r="E184" s="19"/>
    </row>
    <row r="185">
      <c r="E185" s="19"/>
    </row>
    <row r="186">
      <c r="E186" s="19"/>
    </row>
    <row r="187">
      <c r="E187" s="19"/>
    </row>
    <row r="188">
      <c r="E188" s="19"/>
    </row>
    <row r="189">
      <c r="E189" s="19"/>
    </row>
    <row r="190">
      <c r="E190" s="19"/>
    </row>
    <row r="191">
      <c r="E191" s="19"/>
    </row>
    <row r="192">
      <c r="E192" s="19"/>
    </row>
    <row r="193">
      <c r="E193" s="19"/>
    </row>
    <row r="194">
      <c r="E194" s="19"/>
    </row>
    <row r="195">
      <c r="E195" s="19"/>
    </row>
    <row r="196">
      <c r="E196" s="19"/>
    </row>
    <row r="197">
      <c r="E197" s="19"/>
    </row>
    <row r="198">
      <c r="E198" s="19"/>
    </row>
    <row r="199">
      <c r="E199" s="19"/>
    </row>
    <row r="200">
      <c r="E200" s="19"/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  <row r="911">
      <c r="E911" s="19"/>
    </row>
    <row r="912">
      <c r="E912" s="19"/>
    </row>
    <row r="913">
      <c r="E913" s="19"/>
    </row>
    <row r="914">
      <c r="E914" s="19"/>
    </row>
    <row r="915">
      <c r="E915" s="19"/>
    </row>
    <row r="916">
      <c r="E916" s="19"/>
    </row>
    <row r="917">
      <c r="E917" s="19"/>
    </row>
    <row r="918">
      <c r="E918" s="19"/>
    </row>
    <row r="919">
      <c r="E919" s="19"/>
    </row>
    <row r="920">
      <c r="E920" s="19"/>
    </row>
    <row r="921">
      <c r="E921" s="19"/>
    </row>
    <row r="922">
      <c r="E922" s="19"/>
    </row>
    <row r="923">
      <c r="E923" s="19"/>
    </row>
    <row r="924">
      <c r="E924" s="19"/>
    </row>
    <row r="925">
      <c r="E925" s="19"/>
    </row>
    <row r="926">
      <c r="E926" s="19"/>
    </row>
    <row r="927">
      <c r="E927" s="19"/>
    </row>
    <row r="928">
      <c r="E928" s="19"/>
    </row>
    <row r="929">
      <c r="E929" s="19"/>
    </row>
    <row r="930">
      <c r="E930" s="19"/>
    </row>
    <row r="931">
      <c r="E931" s="19"/>
    </row>
    <row r="932">
      <c r="E932" s="19"/>
    </row>
    <row r="933">
      <c r="E933" s="19"/>
    </row>
    <row r="934">
      <c r="E934" s="19"/>
    </row>
    <row r="935">
      <c r="E935" s="19"/>
    </row>
    <row r="936">
      <c r="E936" s="19"/>
    </row>
    <row r="937">
      <c r="E937" s="19"/>
    </row>
    <row r="938">
      <c r="E938" s="19"/>
    </row>
    <row r="939">
      <c r="E939" s="19"/>
    </row>
    <row r="940">
      <c r="E940" s="19"/>
    </row>
    <row r="941">
      <c r="E941" s="19"/>
    </row>
    <row r="942">
      <c r="E942" s="19"/>
    </row>
    <row r="943">
      <c r="E943" s="19"/>
    </row>
    <row r="944">
      <c r="E944" s="19"/>
    </row>
    <row r="945">
      <c r="E945" s="19"/>
    </row>
    <row r="946">
      <c r="E946" s="19"/>
    </row>
    <row r="947">
      <c r="E947" s="19"/>
    </row>
    <row r="948">
      <c r="E948" s="19"/>
    </row>
    <row r="949">
      <c r="E949" s="19"/>
    </row>
    <row r="950">
      <c r="E950" s="19"/>
    </row>
    <row r="951">
      <c r="E951" s="19"/>
    </row>
    <row r="952">
      <c r="E952" s="19"/>
    </row>
    <row r="953">
      <c r="E953" s="19"/>
    </row>
    <row r="954">
      <c r="E954" s="19"/>
    </row>
    <row r="955">
      <c r="E955" s="19"/>
    </row>
    <row r="956">
      <c r="E956" s="19"/>
    </row>
    <row r="957">
      <c r="E957" s="19"/>
    </row>
    <row r="958">
      <c r="E958" s="19"/>
    </row>
    <row r="959">
      <c r="E959" s="19"/>
    </row>
    <row r="960">
      <c r="E960" s="19"/>
    </row>
    <row r="961">
      <c r="E961" s="19"/>
    </row>
    <row r="962">
      <c r="E962" s="19"/>
    </row>
    <row r="963">
      <c r="E963" s="19"/>
    </row>
    <row r="964">
      <c r="E964" s="19"/>
    </row>
    <row r="965">
      <c r="E965" s="19"/>
    </row>
    <row r="966">
      <c r="E966" s="19"/>
    </row>
    <row r="967">
      <c r="E967" s="19"/>
    </row>
    <row r="968">
      <c r="E968" s="19"/>
    </row>
    <row r="969">
      <c r="E969" s="19"/>
    </row>
    <row r="970">
      <c r="E970" s="19"/>
    </row>
    <row r="971">
      <c r="E971" s="19"/>
    </row>
    <row r="972">
      <c r="E972" s="19"/>
    </row>
    <row r="973">
      <c r="E973" s="19"/>
    </row>
    <row r="974">
      <c r="E974" s="19"/>
    </row>
    <row r="975">
      <c r="E975" s="19"/>
    </row>
    <row r="976">
      <c r="E976" s="19"/>
    </row>
    <row r="977">
      <c r="E977" s="19"/>
    </row>
    <row r="978">
      <c r="E978" s="19"/>
    </row>
    <row r="979">
      <c r="E979" s="19"/>
    </row>
    <row r="980">
      <c r="E980" s="19"/>
    </row>
    <row r="981">
      <c r="E981" s="19"/>
    </row>
    <row r="982">
      <c r="E982" s="19"/>
    </row>
    <row r="983">
      <c r="E983" s="19"/>
    </row>
    <row r="984">
      <c r="E984" s="19"/>
    </row>
    <row r="985">
      <c r="E985" s="19"/>
    </row>
    <row r="986">
      <c r="E986" s="19"/>
    </row>
    <row r="987">
      <c r="E987" s="19"/>
    </row>
    <row r="988">
      <c r="E988" s="19"/>
    </row>
    <row r="989">
      <c r="E989" s="19"/>
    </row>
    <row r="990">
      <c r="E990" s="19"/>
    </row>
    <row r="991">
      <c r="E991" s="19"/>
    </row>
    <row r="992">
      <c r="E992" s="19"/>
    </row>
    <row r="993">
      <c r="E993" s="19"/>
    </row>
    <row r="994">
      <c r="E994" s="19"/>
    </row>
    <row r="995">
      <c r="E995" s="19"/>
    </row>
    <row r="996">
      <c r="E996" s="19"/>
    </row>
    <row r="997">
      <c r="E997" s="19"/>
    </row>
    <row r="998">
      <c r="E998" s="19"/>
    </row>
    <row r="999">
      <c r="E999" s="19"/>
    </row>
    <row r="1000">
      <c r="E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27" t="s">
        <v>37</v>
      </c>
      <c r="B1" s="27" t="s">
        <v>38</v>
      </c>
      <c r="C1" s="27" t="s">
        <v>39</v>
      </c>
      <c r="D1" s="27" t="s">
        <v>40</v>
      </c>
      <c r="E1" s="27" t="s">
        <v>41</v>
      </c>
    </row>
    <row r="2">
      <c r="A2" s="2" t="s">
        <v>42</v>
      </c>
      <c r="B2" s="2">
        <v>55.0</v>
      </c>
      <c r="C2" s="2">
        <v>0.46</v>
      </c>
      <c r="D2" s="2">
        <v>0.61</v>
      </c>
      <c r="E2" s="2">
        <v>0.79</v>
      </c>
      <c r="F2" s="4">
        <f t="shared" ref="F2:F8" si="1">ROUND(E2,0)</f>
        <v>1</v>
      </c>
    </row>
    <row r="3">
      <c r="A3" s="2" t="s">
        <v>43</v>
      </c>
      <c r="B3" s="2">
        <v>175.0</v>
      </c>
      <c r="C3" s="2">
        <v>1.46</v>
      </c>
      <c r="D3" s="2">
        <v>1.94</v>
      </c>
      <c r="E3" s="2">
        <v>2.5</v>
      </c>
      <c r="F3" s="4">
        <f t="shared" si="1"/>
        <v>3</v>
      </c>
    </row>
    <row r="4">
      <c r="A4" s="2" t="s">
        <v>44</v>
      </c>
      <c r="B4" s="2">
        <v>285.0</v>
      </c>
      <c r="C4" s="2">
        <v>2.38</v>
      </c>
      <c r="D4" s="2">
        <v>3.17</v>
      </c>
      <c r="E4" s="2">
        <v>4.07</v>
      </c>
      <c r="F4" s="4">
        <f t="shared" si="1"/>
        <v>4</v>
      </c>
    </row>
    <row r="5">
      <c r="A5" s="2" t="s">
        <v>45</v>
      </c>
      <c r="B5" s="2">
        <v>95.0</v>
      </c>
      <c r="C5" s="2">
        <v>0.79</v>
      </c>
      <c r="D5" s="2">
        <v>1.06</v>
      </c>
      <c r="E5" s="2">
        <v>1.36</v>
      </c>
      <c r="F5" s="4">
        <f t="shared" si="1"/>
        <v>1</v>
      </c>
    </row>
    <row r="6">
      <c r="A6" s="2" t="s">
        <v>46</v>
      </c>
      <c r="B6" s="2">
        <v>155.0</v>
      </c>
      <c r="C6" s="2">
        <v>1.29</v>
      </c>
      <c r="D6" s="2">
        <v>1.72</v>
      </c>
      <c r="E6" s="2">
        <v>2.21</v>
      </c>
      <c r="F6" s="4">
        <f t="shared" si="1"/>
        <v>2</v>
      </c>
    </row>
    <row r="7">
      <c r="A7" s="2" t="s">
        <v>47</v>
      </c>
      <c r="B7" s="2">
        <v>110.0</v>
      </c>
      <c r="C7" s="2">
        <v>0.92</v>
      </c>
      <c r="D7" s="2">
        <v>1.22</v>
      </c>
      <c r="E7" s="2">
        <v>1.57</v>
      </c>
      <c r="F7" s="4">
        <f t="shared" si="1"/>
        <v>2</v>
      </c>
    </row>
    <row r="8">
      <c r="A8" s="2" t="s">
        <v>48</v>
      </c>
      <c r="B8" s="2">
        <v>120.0</v>
      </c>
      <c r="C8" s="2">
        <v>1.0</v>
      </c>
      <c r="D8" s="2">
        <v>1.33</v>
      </c>
      <c r="E8" s="2">
        <v>1.71</v>
      </c>
      <c r="F8" s="4">
        <f t="shared" si="1"/>
        <v>2</v>
      </c>
    </row>
  </sheetData>
  <drawing r:id="rId1"/>
</worksheet>
</file>